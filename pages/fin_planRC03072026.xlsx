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omments1.xml" ContentType="application/vnd.openxmlformats-officedocument.spreadsheetml.comment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B228" authorId="0">
      <text>
        <r>
          <rPr>
            <sz val="10"/>
            <rFont val="Arial"/>
            <family val="2"/>
          </rPr>
          <t xml:space="preserve">company creation</t>
        </r>
      </text>
    </comment>
    <comment ref="C228" authorId="0">
      <text>
        <r>
          <rPr>
            <sz val="10"/>
            <rFont val="Arial"/>
            <family val="2"/>
          </rPr>
          <t xml:space="preserve">premises and equipment</t>
        </r>
      </text>
    </comment>
    <comment ref="D228" authorId="0">
      <text>
        <r>
          <rPr>
            <sz val="10"/>
            <rFont val="Arial"/>
            <family val="2"/>
          </rPr>
          <t xml:space="preserve">ordering parts and hiring a 3D designer</t>
        </r>
      </text>
    </comment>
    <comment ref="E228" authorId="0">
      <text>
        <r>
          <rPr>
            <sz val="10"/>
            <rFont val="Arial"/>
            <family val="2"/>
          </rPr>
          <t xml:space="preserve">Domain, server, website, firmware and electronics developers.</t>
        </r>
      </text>
    </comment>
    <comment ref="F228" authorId="0">
      <text>
        <r>
          <rPr>
            <sz val="10"/>
            <rFont val="Arial"/>
            <family val="2"/>
          </rPr>
          <t xml:space="preserve">tester and PR agent</t>
        </r>
      </text>
    </comment>
    <comment ref="G228" authorId="0">
      <text>
        <r>
          <rPr>
            <sz val="10"/>
            <rFont val="Arial"/>
            <family val="2"/>
          </rPr>
          <t xml:space="preserve">video and advertising</t>
        </r>
      </text>
    </comment>
    <comment ref="H228" authorId="0">
      <text>
        <r>
          <rPr>
            <sz val="10"/>
            <rFont val="Arial"/>
            <family val="2"/>
          </rPr>
          <t xml:space="preserve">crowdfunding</t>
        </r>
      </text>
    </comment>
    <comment ref="I228" authorId="0">
      <text>
        <r>
          <rPr>
            <sz val="10"/>
            <rFont val="Arial"/>
            <family val="2"/>
          </rPr>
          <t xml:space="preserve">renting premises and ordering components</t>
        </r>
      </text>
    </comment>
    <comment ref="J228" authorId="0">
      <text>
        <r>
          <rPr>
            <sz val="10"/>
            <rFont val="Arial"/>
            <family val="2"/>
          </rPr>
          <t xml:space="preserve">hiring personnel for the assembly line</t>
        </r>
      </text>
    </comment>
    <comment ref="K228" authorId="0">
      <text>
        <r>
          <rPr>
            <sz val="10"/>
            <rFont val="Arial"/>
            <family val="2"/>
          </rPr>
          <t xml:space="preserve">recruitment and training of personnel during the initial downtime period</t>
        </r>
      </text>
    </comment>
    <comment ref="L228" authorId="0">
      <text>
        <r>
          <rPr>
            <sz val="10"/>
            <rFont val="Arial"/>
            <family val="2"/>
          </rPr>
          <t xml:space="preserve">first month of work</t>
        </r>
      </text>
    </comment>
    <comment ref="M228" authorId="0">
      <text>
        <r>
          <rPr>
            <sz val="10"/>
            <rFont val="Arial"/>
            <family val="2"/>
          </rPr>
          <t xml:space="preserve">second month of work</t>
        </r>
      </text>
    </comment>
  </commentList>
</comments>
</file>

<file path=xl/sharedStrings.xml><?xml version="1.0" encoding="utf-8"?>
<sst xmlns="http://schemas.openxmlformats.org/spreadsheetml/2006/main" count="186" uniqueCount="160">
  <si>
    <t xml:space="preserve">Financial plan</t>
  </si>
  <si>
    <t xml:space="preserve">ncludes sponsorship support for open source, non-profit development</t>
  </si>
  <si>
    <t xml:space="preserve">since the plan also includes starting a company</t>
  </si>
  <si>
    <t xml:space="preserve">Funds from sponsorship support will be used for travel, accommodation, and opening the company itself in a location where this is possible.</t>
  </si>
  <si>
    <t xml:space="preserve">final amounts</t>
  </si>
  <si>
    <t xml:space="preserve">total investment amount</t>
  </si>
  <si>
    <t xml:space="preserve">$</t>
  </si>
  <si>
    <t xml:space="preserve">planned batch of devices</t>
  </si>
  <si>
    <t xml:space="preserve">unit  </t>
  </si>
  <si>
    <t xml:space="preserve">total sales revenue</t>
  </si>
  <si>
    <t xml:space="preserve">margin</t>
  </si>
  <si>
    <t xml:space="preserve">I apologize for my literary style (but I am also offering something that is the same writing instrument as a pen, ballpoint pen, or typewriter).</t>
  </si>
  <si>
    <t xml:space="preserve">The batch of 100,000 pieces considered here is naturally not the entire consumer niche of my device.</t>
  </si>
  <si>
    <t xml:space="preserve">This is only the first story about the initial stage of all the work. And it has its own separate plot.</t>
  </si>
  <si>
    <t xml:space="preserve">This is an assumption, and like any assumption it must end where everything seems reliable for now.</t>
  </si>
  <si>
    <t xml:space="preserve">The stage of burning financial resources.</t>
  </si>
  <si>
    <t xml:space="preserve">support from sponsors</t>
  </si>
  <si>
    <t xml:space="preserve">Revenue item  $</t>
  </si>
  <si>
    <t xml:space="preserve">Expense item $</t>
  </si>
  <si>
    <t xml:space="preserve">$ unit </t>
  </si>
  <si>
    <t xml:space="preserve">quantity</t>
  </si>
  <si>
    <t xml:space="preserve">time</t>
  </si>
  <si>
    <t xml:space="preserve">flight tickets</t>
  </si>
  <si>
    <t xml:space="preserve">accommodation</t>
  </si>
  <si>
    <t xml:space="preserve">days</t>
  </si>
  <si>
    <t xml:space="preserve">daily expenses</t>
  </si>
  <si>
    <t xml:space="preserve">open a company</t>
  </si>
  <si>
    <t xml:space="preserve">LLC</t>
  </si>
  <si>
    <t xml:space="preserve">C-Corp</t>
  </si>
  <si>
    <t xml:space="preserve">investments in  newly opened company</t>
  </si>
  <si>
    <t xml:space="preserve">company office</t>
  </si>
  <si>
    <t xml:space="preserve">months</t>
  </si>
  <si>
    <t xml:space="preserve">equipment</t>
  </si>
  <si>
    <t xml:space="preserve">pre-production units of the device</t>
  </si>
  <si>
    <t xml:space="preserve">hiring</t>
  </si>
  <si>
    <t xml:space="preserve">salary</t>
  </si>
  <si>
    <t xml:space="preserve">vacancies</t>
  </si>
  <si>
    <t xml:space="preserve">designer</t>
  </si>
  <si>
    <t xml:space="preserve">PR menager</t>
  </si>
  <si>
    <t xml:space="preserve">electronics development</t>
  </si>
  <si>
    <t xml:space="preserve">firmware creation</t>
  </si>
  <si>
    <t xml:space="preserve">sum</t>
  </si>
  <si>
    <t xml:space="preserve">website creation</t>
  </si>
  <si>
    <t xml:space="preserve">server</t>
  </si>
  <si>
    <t xml:space="preserve">domain registration</t>
  </si>
  <si>
    <t xml:space="preserve">web development</t>
  </si>
  <si>
    <t xml:space="preserve">website administration</t>
  </si>
  <si>
    <t xml:space="preserve">text editor project</t>
  </si>
  <si>
    <t xml:space="preserve">balance on accounts</t>
  </si>
  <si>
    <t xml:space="preserve">cost estimate</t>
  </si>
  <si>
    <t xml:space="preserve">assembly operation</t>
  </si>
  <si>
    <t xml:space="preserve">seconds </t>
  </si>
  <si>
    <t xml:space="preserve">just seconds</t>
  </si>
  <si>
    <t xml:space="preserve">working days per year</t>
  </si>
  <si>
    <t xml:space="preserve">hours in a working day</t>
  </si>
  <si>
    <t xml:space="preserve">hours per assembly day</t>
  </si>
  <si>
    <t xml:space="preserve">working minutes per year</t>
  </si>
  <si>
    <t xml:space="preserve">assembly minutes per year</t>
  </si>
  <si>
    <t xml:space="preserve">assembly of one device</t>
  </si>
  <si>
    <t xml:space="preserve">seconds</t>
  </si>
  <si>
    <t xml:space="preserve">minutes</t>
  </si>
  <si>
    <t xml:space="preserve">hours</t>
  </si>
  <si>
    <t xml:space="preserve">daily norm</t>
  </si>
  <si>
    <t xml:space="preserve">assembly of the entire batch of devices</t>
  </si>
  <si>
    <t xml:space="preserve">Man-hours</t>
  </si>
  <si>
    <t xml:space="preserve">man-days</t>
  </si>
  <si>
    <t xml:space="preserve">In the business plan, I explained in more detail why I only consider five hours a day to be allocated to assembly work.</t>
  </si>
  <si>
    <t xml:space="preserve">In short, the remaining three hours are a preparatory period.</t>
  </si>
  <si>
    <t xml:space="preserve">period of work with the participation of all teams of assemblers</t>
  </si>
  <si>
    <t xml:space="preserve">price</t>
  </si>
  <si>
    <t xml:space="preserve">rent of industrial premises</t>
  </si>
  <si>
    <t xml:space="preserve">electricity bills</t>
  </si>
  <si>
    <t xml:space="preserve">price of  conditional working minute of  assembler</t>
  </si>
  <si>
    <t xml:space="preserve">cost of assembly of one product</t>
  </si>
  <si>
    <t xml:space="preserve">cost of the assembler's time</t>
  </si>
  <si>
    <t xml:space="preserve">other salaries, rent and electricity</t>
  </si>
  <si>
    <t xml:space="preserve">overhead costs  100%</t>
  </si>
  <si>
    <t xml:space="preserve">supply of plastic injection molding components</t>
  </si>
  <si>
    <t xml:space="preserve">springs and fasteners</t>
  </si>
  <si>
    <t xml:space="preserve">motherboard</t>
  </si>
  <si>
    <t xml:space="preserve">additional electronic components</t>
  </si>
  <si>
    <t xml:space="preserve">trading platform commission</t>
  </si>
  <si>
    <t xml:space="preserve">%</t>
  </si>
  <si>
    <t xml:space="preserve">transaction commission</t>
  </si>
  <si>
    <t xml:space="preserve">Crowdfunding</t>
  </si>
  <si>
    <t xml:space="preserve">creating an advertising video</t>
  </si>
  <si>
    <t xml:space="preserve">other advertising and promotion costs</t>
  </si>
  <si>
    <t xml:space="preserve">time </t>
  </si>
  <si>
    <t xml:space="preserve">month</t>
  </si>
  <si>
    <t xml:space="preserve">required funds and quantity to start work</t>
  </si>
  <si>
    <t xml:space="preserve">hiring the required employees</t>
  </si>
  <si>
    <t xml:space="preserve">Head of Supply Department</t>
  </si>
  <si>
    <t xml:space="preserve">production manager</t>
  </si>
  <si>
    <t xml:space="preserve">assembly line workers</t>
  </si>
  <si>
    <t xml:space="preserve">random</t>
  </si>
  <si>
    <t xml:space="preserve">repairmans</t>
  </si>
  <si>
    <t xml:space="preserve">tester </t>
  </si>
  <si>
    <t xml:space="preserve">pre-launch costs</t>
  </si>
  <si>
    <t xml:space="preserve">prepayment for ordering press molds</t>
  </si>
  <si>
    <t xml:space="preserve">advance payment for the first batch of parts</t>
  </si>
  <si>
    <t xml:space="preserve">electronic components</t>
  </si>
  <si>
    <t xml:space="preserve">payment for initial production downtime</t>
  </si>
  <si>
    <t xml:space="preserve">day</t>
  </si>
  <si>
    <t xml:space="preserve">week</t>
  </si>
  <si>
    <t xml:space="preserve">possible term</t>
  </si>
  <si>
    <t xml:space="preserve">Start Working</t>
  </si>
  <si>
    <t xml:space="preserve">  workers</t>
  </si>
  <si>
    <t xml:space="preserve">daily profit</t>
  </si>
  <si>
    <t xml:space="preserve">break-even point</t>
  </si>
  <si>
    <t xml:space="preserve">in assembly</t>
  </si>
  <si>
    <t xml:space="preserve">weeks</t>
  </si>
  <si>
    <t xml:space="preserve">with downtime</t>
  </si>
  <si>
    <t xml:space="preserve">The advantage of a large team of assemblers seems obvious</t>
  </si>
  <si>
    <t xml:space="preserve">if we don't have to take time delays into account</t>
  </si>
  <si>
    <t xml:space="preserve">These delays are related to the hiring of new employees and their training</t>
  </si>
  <si>
    <t xml:space="preserve">I don't think I'll be able to hire more than one new employee a day</t>
  </si>
  <si>
    <t xml:space="preserve">When I added this amendment to the general downtime period, I got the result that there were no advantages in terms of time</t>
  </si>
  <si>
    <t xml:space="preserve">Therefore, a large team is not a good solution to the problem of deadlines and product development.</t>
  </si>
  <si>
    <t xml:space="preserve">total number</t>
  </si>
  <si>
    <t xml:space="preserve">all time from  rise of funds</t>
  </si>
  <si>
    <t xml:space="preserve">Rise+work</t>
  </si>
  <si>
    <t xml:space="preserve">working</t>
  </si>
  <si>
    <t xml:space="preserve"> employees</t>
  </si>
  <si>
    <t xml:space="preserve">year</t>
  </si>
  <si>
    <t xml:space="preserve">Timeline</t>
  </si>
  <si>
    <t xml:space="preserve">First year</t>
  </si>
  <si>
    <t xml:space="preserve">first quarter of the first year</t>
  </si>
  <si>
    <t xml:space="preserve">second quarter of the first year</t>
  </si>
  <si>
    <t xml:space="preserve">third quarter of the first year</t>
  </si>
  <si>
    <t xml:space="preserve">fourth quarter of the first year</t>
  </si>
  <si>
    <t xml:space="preserve">1 month</t>
  </si>
  <si>
    <t xml:space="preserve">2 month</t>
  </si>
  <si>
    <t xml:space="preserve">3 month</t>
  </si>
  <si>
    <t xml:space="preserve">4 month</t>
  </si>
  <si>
    <t xml:space="preserve">5 month</t>
  </si>
  <si>
    <t xml:space="preserve">6 month</t>
  </si>
  <si>
    <t xml:space="preserve">7 month</t>
  </si>
  <si>
    <t xml:space="preserve">8 month</t>
  </si>
  <si>
    <t xml:space="preserve">9 month</t>
  </si>
  <si>
    <t xml:space="preserve">10 month</t>
  </si>
  <si>
    <t xml:space="preserve">11 month</t>
  </si>
  <si>
    <t xml:space="preserve">12 month</t>
  </si>
  <si>
    <t xml:space="preserve">$ monthly</t>
  </si>
  <si>
    <t xml:space="preserve">$ total</t>
  </si>
  <si>
    <t xml:space="preserve">units of devices manufactured</t>
  </si>
  <si>
    <t xml:space="preserve">$ with </t>
  </si>
  <si>
    <t xml:space="preserve">invest</t>
  </si>
  <si>
    <t xml:space="preserve">Serge Sokolov </t>
  </si>
  <si>
    <t xml:space="preserve">app 18</t>
  </si>
  <si>
    <t xml:space="preserve">23 Lakhtinska  </t>
  </si>
  <si>
    <t xml:space="preserve">St. Petersburg 197136 </t>
  </si>
  <si>
    <t xml:space="preserve">Russia </t>
  </si>
  <si>
    <t xml:space="preserve">Ph +79522711742</t>
  </si>
  <si>
    <r>
      <rPr>
        <sz val="12"/>
        <color rgb="FF0000FF"/>
        <rFont val="Arial"/>
        <family val="2"/>
      </rPr>
      <t xml:space="preserve">sergesclv@gmail.com</t>
    </r>
    <r>
      <rPr>
        <sz val="12"/>
        <rFont val="Arial"/>
        <family val="2"/>
      </rPr>
      <t xml:space="preserve"> </t>
    </r>
  </si>
  <si>
    <r>
      <rPr>
        <sz val="12"/>
        <color rgb="FF0000FF"/>
        <rFont val="Arial"/>
        <family val="2"/>
      </rPr>
      <t xml:space="preserve">sergesclv3@protonmail.com</t>
    </r>
    <r>
      <rPr>
        <sz val="12"/>
        <rFont val="Arial"/>
        <family val="2"/>
      </rPr>
      <t xml:space="preserve"> </t>
    </r>
  </si>
  <si>
    <t xml:space="preserve">https://ru.linkedin.com/in/serge-sokolov-abb5319</t>
  </si>
  <si>
    <r>
      <rPr>
        <sz val="12"/>
        <color rgb="FF0000FF"/>
        <rFont val="Arial"/>
        <family val="2"/>
      </rPr>
      <t xml:space="preserve">https://x.com/SeregeSokolov</t>
    </r>
    <r>
      <rPr>
        <sz val="12"/>
        <rFont val="Arial"/>
        <family val="2"/>
      </rPr>
      <t xml:space="preserve"> </t>
    </r>
  </si>
  <si>
    <r>
      <rPr>
        <sz val="12"/>
        <color rgb="FF0000FF"/>
        <rFont val="Arial"/>
        <family val="2"/>
      </rPr>
      <t xml:space="preserve">https://github.com/serge-scl/mini-keyboard</t>
    </r>
    <r>
      <rPr>
        <sz val="12"/>
        <rFont val="Arial"/>
        <family val="2"/>
      </rPr>
      <t xml:space="preserve"> </t>
    </r>
  </si>
  <si>
    <r>
      <rPr>
        <sz val="12"/>
        <color rgb="FF0000FF"/>
        <rFont val="Arial"/>
        <family val="2"/>
      </rPr>
      <t xml:space="preserve">https://www.facebook.com/sergesclv/</t>
    </r>
    <r>
      <rPr>
        <sz val="12"/>
        <rFont val="Arial"/>
        <family val="2"/>
      </rPr>
      <t xml:space="preserve">  </t>
    </r>
  </si>
  <si>
    <r>
      <rPr>
        <sz val="12"/>
        <color rgb="FF0000FF"/>
        <rFont val="Arial"/>
        <family val="2"/>
      </rPr>
      <t xml:space="preserve">https://maker.pro/raspberry-pi/projects/mouse-keyboard-pyramids</t>
    </r>
    <r>
      <rPr>
        <sz val="12"/>
        <rFont val="Arial"/>
        <family val="2"/>
      </rPr>
      <t xml:space="preserve"> 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</si>
</sst>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39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4"/>
      <color rgb="FF6B5E9B"/>
      <name val="Arial"/>
      <family val="2"/>
    </font>
    <font>
      <sz val="10"/>
      <color rgb="FF8E86AE"/>
      <name val="Arial"/>
      <family val="2"/>
    </font>
    <font>
      <sz val="10"/>
      <color rgb="FF861141"/>
      <name val="Arial"/>
      <family val="2"/>
    </font>
    <font>
      <i val="true"/>
      <sz val="10"/>
      <color rgb="FF861141"/>
      <name val="Arial"/>
      <family val="2"/>
    </font>
    <font>
      <sz val="10"/>
      <color rgb="FFFFFFD7"/>
      <name val="Arial"/>
      <family val="2"/>
    </font>
    <font>
      <sz val="18"/>
      <color rgb="FFFFFFD7"/>
      <name val="Arial"/>
      <family val="2"/>
    </font>
    <font>
      <sz val="14"/>
      <color rgb="FFFFFFD7"/>
      <name val="Arial"/>
      <family val="2"/>
    </font>
    <font>
      <sz val="14"/>
      <color rgb="FFFFFFFF"/>
      <name val="Arial"/>
      <family val="2"/>
    </font>
    <font>
      <sz val="12"/>
      <color rgb="FF861141"/>
      <name val="Arial"/>
      <family val="2"/>
    </font>
    <font>
      <sz val="10"/>
      <color rgb="FFE8F2A1"/>
      <name val="Arial"/>
      <family val="2"/>
    </font>
    <font>
      <sz val="18"/>
      <color rgb="FFFFD8CE"/>
      <name val="Arial"/>
      <family val="2"/>
    </font>
    <font>
      <sz val="14"/>
      <color rgb="FFE8F2A1"/>
      <name val="Arial"/>
      <family val="2"/>
    </font>
    <font>
      <b val="true"/>
      <sz val="13"/>
      <color rgb="FF77BC65"/>
      <name val="Times New Roman"/>
      <family val="1"/>
    </font>
    <font>
      <b val="true"/>
      <sz val="13"/>
      <color rgb="FFFFDBB6"/>
      <name val="Times New Roman"/>
      <family val="1"/>
    </font>
    <font>
      <b val="true"/>
      <sz val="13"/>
      <color rgb="FFE8F2A1"/>
      <name val="Arial"/>
      <family val="2"/>
    </font>
    <font>
      <b val="true"/>
      <sz val="14"/>
      <color rgb="FFE8F2A1"/>
      <name val="Arial"/>
      <family val="2"/>
    </font>
    <font>
      <sz val="10"/>
      <color rgb="FF77BC65"/>
      <name val="Arial"/>
      <family val="2"/>
    </font>
    <font>
      <sz val="10"/>
      <color rgb="FFFFDBB6"/>
      <name val="Arial"/>
      <family val="2"/>
    </font>
    <font>
      <sz val="12"/>
      <color rgb="FFE8F2A1"/>
      <name val="Arial"/>
      <family val="2"/>
    </font>
    <font>
      <sz val="10"/>
      <color rgb="FFFFFF6D"/>
      <name val="Arial"/>
      <family val="2"/>
    </font>
    <font>
      <sz val="16"/>
      <name val="Arial"/>
      <family val="2"/>
    </font>
    <font>
      <b val="true"/>
      <sz val="12"/>
      <color rgb="FF861141"/>
      <name val="Arial"/>
      <family val="2"/>
    </font>
    <font>
      <b val="true"/>
      <sz val="10"/>
      <color rgb="FF861141"/>
      <name val="Arial"/>
      <family val="2"/>
    </font>
    <font>
      <sz val="14"/>
      <name val="Arial"/>
      <family val="2"/>
    </font>
    <font>
      <sz val="10"/>
      <color rgb="FF000000"/>
      <name val="Arial"/>
      <family val="2"/>
    </font>
    <font>
      <sz val="14"/>
      <color rgb="FF000000"/>
      <name val="Arial"/>
      <family val="2"/>
    </font>
    <font>
      <sz val="16"/>
      <color rgb="FFD4EA6B"/>
      <name val="Arial"/>
      <family val="2"/>
    </font>
    <font>
      <sz val="14"/>
      <color rgb="FFFFFF6D"/>
      <name val="Arial"/>
      <family val="2"/>
    </font>
    <font>
      <sz val="13"/>
      <color rgb="FFFFFF6D"/>
      <name val="Arial"/>
      <family val="2"/>
    </font>
    <font>
      <sz val="12"/>
      <color rgb="FF77BC65"/>
      <name val="Arial"/>
      <family val="2"/>
    </font>
    <font>
      <sz val="18"/>
      <name val="Arial"/>
      <family val="2"/>
    </font>
    <font>
      <sz val="12"/>
      <name val="Arial"/>
      <family val="2"/>
    </font>
    <font>
      <sz val="12"/>
      <color rgb="FF0000FF"/>
      <name val="Arial"/>
      <family val="2"/>
    </font>
    <font>
      <sz val="13"/>
      <name val="Arial"/>
      <family val="2"/>
    </font>
    <font>
      <sz val="9"/>
      <name val="Arial"/>
      <family val="2"/>
    </font>
  </fonts>
  <fills count="23">
    <fill>
      <patternFill patternType="none"/>
    </fill>
    <fill>
      <patternFill patternType="gray125"/>
    </fill>
    <fill>
      <patternFill patternType="solid">
        <fgColor rgb="FF55215B"/>
        <bgColor rgb="FF660066"/>
      </patternFill>
    </fill>
    <fill>
      <patternFill patternType="solid">
        <fgColor rgb="FF77BC65"/>
        <bgColor rgb="FF81ACA6"/>
      </patternFill>
    </fill>
    <fill>
      <patternFill patternType="solid">
        <fgColor rgb="FF8E86AE"/>
        <bgColor rgb="FF729FCF"/>
      </patternFill>
    </fill>
    <fill>
      <patternFill patternType="solid">
        <fgColor rgb="FFFFD8CE"/>
        <bgColor rgb="FFF7D1D5"/>
      </patternFill>
    </fill>
    <fill>
      <patternFill patternType="solid">
        <fgColor rgb="FF6B5E9B"/>
        <bgColor rgb="FF3465A4"/>
      </patternFill>
    </fill>
    <fill>
      <patternFill patternType="solid">
        <fgColor rgb="FF3465A4"/>
        <bgColor rgb="FF6B5E9B"/>
      </patternFill>
    </fill>
    <fill>
      <patternFill patternType="solid">
        <fgColor rgb="FF50938A"/>
        <bgColor rgb="FF729FCF"/>
      </patternFill>
    </fill>
    <fill>
      <patternFill patternType="solid">
        <fgColor rgb="FF729FCF"/>
        <bgColor rgb="FF81ACA6"/>
      </patternFill>
    </fill>
    <fill>
      <patternFill patternType="solid">
        <fgColor rgb="FFE16173"/>
        <bgColor rgb="FFBF819E"/>
      </patternFill>
    </fill>
    <fill>
      <patternFill patternType="solid">
        <fgColor rgb="FF8D1D75"/>
        <bgColor rgb="FF993366"/>
      </patternFill>
    </fill>
    <fill>
      <patternFill patternType="solid">
        <fgColor rgb="FF81ACA6"/>
        <bgColor rgb="FF729FCF"/>
      </patternFill>
    </fill>
    <fill>
      <patternFill patternType="solid">
        <fgColor rgb="FFBF819E"/>
        <bgColor rgb="FF8E86AE"/>
      </patternFill>
    </fill>
    <fill>
      <patternFill patternType="solid">
        <fgColor rgb="FFEC9BA4"/>
        <bgColor rgb="FFBF819E"/>
      </patternFill>
    </fill>
    <fill>
      <patternFill patternType="solid">
        <fgColor rgb="FF000000"/>
        <bgColor rgb="FF003300"/>
      </patternFill>
    </fill>
    <fill>
      <patternFill patternType="solid">
        <fgColor rgb="FFFFFF00"/>
        <bgColor rgb="FFFFFF6D"/>
      </patternFill>
    </fill>
    <fill>
      <patternFill patternType="solid">
        <fgColor rgb="FFD4EA6B"/>
        <bgColor rgb="FFE8F2A1"/>
      </patternFill>
    </fill>
    <fill>
      <patternFill patternType="solid">
        <fgColor rgb="FFDEDCE6"/>
        <bgColor rgb="FFDEE6EF"/>
      </patternFill>
    </fill>
    <fill>
      <patternFill patternType="solid">
        <fgColor rgb="FFFFDE59"/>
        <bgColor rgb="FFD4EA6B"/>
      </patternFill>
    </fill>
    <fill>
      <patternFill patternType="solid">
        <fgColor rgb="FF1E6A39"/>
        <bgColor rgb="FF008080"/>
      </patternFill>
    </fill>
    <fill>
      <patternFill patternType="solid">
        <fgColor rgb="FFDEE6EF"/>
        <bgColor rgb="FFDEDCE6"/>
      </patternFill>
    </fill>
    <fill>
      <patternFill patternType="solid">
        <fgColor rgb="FFF7D1D5"/>
        <bgColor rgb="FFFFD8CE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6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7" fillId="7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1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1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7" fillId="1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8" fillId="1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9" fillId="1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1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1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1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6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8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1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2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33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1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7" fillId="1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1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1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E6A39"/>
      <rgbColor rgb="FF000080"/>
      <rgbColor rgb="FF808000"/>
      <rgbColor rgb="FF861141"/>
      <rgbColor rgb="FF008080"/>
      <rgbColor rgb="FFB3B3B3"/>
      <rgbColor rgb="FFBF819E"/>
      <rgbColor rgb="FF729FCF"/>
      <rgbColor rgb="FF8D1D75"/>
      <rgbColor rgb="FFFFFFD7"/>
      <rgbColor rgb="FFDEE6EF"/>
      <rgbColor rgb="FF660066"/>
      <rgbColor rgb="FFE16173"/>
      <rgbColor rgb="FF0066CC"/>
      <rgbColor rgb="FFDEDCE6"/>
      <rgbColor rgb="FF000080"/>
      <rgbColor rgb="FFFF00FF"/>
      <rgbColor rgb="FFD4EA6B"/>
      <rgbColor rgb="FF00FFFF"/>
      <rgbColor rgb="FF800080"/>
      <rgbColor rgb="FF800000"/>
      <rgbColor rgb="FF008080"/>
      <rgbColor rgb="FF0000FF"/>
      <rgbColor rgb="FF00CCFF"/>
      <rgbColor rgb="FFFFD8CE"/>
      <rgbColor rgb="FFE8F2A1"/>
      <rgbColor rgb="FFFFFF6D"/>
      <rgbColor rgb="FF81ACA6"/>
      <rgbColor rgb="FFEC9BA4"/>
      <rgbColor rgb="FFF7D1D5"/>
      <rgbColor rgb="FFFFDBB6"/>
      <rgbColor rgb="FF3465A4"/>
      <rgbColor rgb="FF33CCCC"/>
      <rgbColor rgb="FF77BC65"/>
      <rgbColor rgb="FFFFDE59"/>
      <rgbColor rgb="FFFF9900"/>
      <rgbColor rgb="FFFF6600"/>
      <rgbColor rgb="FF6B5E9B"/>
      <rgbColor rgb="FF8E86AE"/>
      <rgbColor rgb="FF004586"/>
      <rgbColor rgb="FF50938A"/>
      <rgbColor rgb="FF003300"/>
      <rgbColor rgb="FF333300"/>
      <rgbColor rgb="FF993300"/>
      <rgbColor rgb="FF993366"/>
      <rgbColor rgb="FF333399"/>
      <rgbColor rgb="FF55215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latin typeface="Arial"/>
              </a:defRPr>
            </a:pPr>
            <a:r>
              <a:rPr b="0" sz="1300" spc="-1" strike="noStrike">
                <a:latin typeface="Arial"/>
              </a:rPr>
              <a:t>timeline total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Sheet1!$B$229:$M$229</c:f>
              <c:numCache>
                <c:formatCode>General</c:formatCode>
                <c:ptCount val="12"/>
                <c:pt idx="0">
                  <c:v>-8100</c:v>
                </c:pt>
                <c:pt idx="1">
                  <c:v>-109300</c:v>
                </c:pt>
                <c:pt idx="2">
                  <c:v>-172120</c:v>
                </c:pt>
                <c:pt idx="3">
                  <c:v>-189140</c:v>
                </c:pt>
                <c:pt idx="4">
                  <c:v>-213307</c:v>
                </c:pt>
                <c:pt idx="5">
                  <c:v>-251474</c:v>
                </c:pt>
                <c:pt idx="6">
                  <c:v>-275641</c:v>
                </c:pt>
                <c:pt idx="7">
                  <c:v>-834128</c:v>
                </c:pt>
                <c:pt idx="8">
                  <c:v>-887462</c:v>
                </c:pt>
                <c:pt idx="9">
                  <c:v>-950379</c:v>
                </c:pt>
                <c:pt idx="10">
                  <c:v>-351457</c:v>
                </c:pt>
                <c:pt idx="11">
                  <c:v>287072</c:v>
                </c:pt>
              </c:numCache>
            </c:numRef>
          </c:val>
        </c:ser>
        <c:gapWidth val="100"/>
        <c:overlap val="0"/>
        <c:axId val="51422907"/>
        <c:axId val="44222094"/>
      </c:barChart>
      <c:catAx>
        <c:axId val="5142290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900" spc="-1" strike="noStrike">
                    <a:latin typeface="Arial"/>
                  </a:defRPr>
                </a:pPr>
                <a:r>
                  <a:rPr b="0" sz="900" spc="-1" strike="noStrike">
                    <a:latin typeface="Arial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44222094"/>
        <c:crosses val="autoZero"/>
        <c:auto val="1"/>
        <c:lblAlgn val="ctr"/>
        <c:lblOffset val="100"/>
        <c:noMultiLvlLbl val="0"/>
      </c:catAx>
      <c:valAx>
        <c:axId val="44222094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0" sz="900" spc="-1" strike="noStrike">
                    <a:latin typeface="Arial"/>
                  </a:defRPr>
                </a:pPr>
                <a:r>
                  <a:rPr b="0" sz="900" spc="-1" strike="noStrike">
                    <a:latin typeface="Arial"/>
                  </a:rPr>
                  <a:t>$ profit without investment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51422907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latin typeface="Arial"/>
              </a:defRPr>
            </a:pPr>
            <a:r>
              <a:rPr b="0" sz="1300" spc="-1" strike="noStrike">
                <a:latin typeface="Arial"/>
              </a:rPr>
              <a:t>timline monthly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7125"/>
          <c:y val="0.165666666666667"/>
          <c:w val="0.675125"/>
          <c:h val="0.685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Sheet1!$B$228:$M$228</c:f>
              <c:numCache>
                <c:formatCode>General</c:formatCode>
                <c:ptCount val="12"/>
                <c:pt idx="0">
                  <c:v>-8100</c:v>
                </c:pt>
                <c:pt idx="1">
                  <c:v>-101200</c:v>
                </c:pt>
                <c:pt idx="2">
                  <c:v>-62820</c:v>
                </c:pt>
                <c:pt idx="3">
                  <c:v>-17020</c:v>
                </c:pt>
                <c:pt idx="4">
                  <c:v>-24167</c:v>
                </c:pt>
                <c:pt idx="5">
                  <c:v>-38167</c:v>
                </c:pt>
                <c:pt idx="6">
                  <c:v>-24167</c:v>
                </c:pt>
                <c:pt idx="7">
                  <c:v>-558487</c:v>
                </c:pt>
                <c:pt idx="8">
                  <c:v>-53334</c:v>
                </c:pt>
                <c:pt idx="9">
                  <c:v>-62917</c:v>
                </c:pt>
                <c:pt idx="10">
                  <c:v>598922</c:v>
                </c:pt>
                <c:pt idx="11">
                  <c:v>638529</c:v>
                </c:pt>
              </c:numCache>
            </c:numRef>
          </c:val>
        </c:ser>
        <c:gapWidth val="100"/>
        <c:overlap val="0"/>
        <c:axId val="55322959"/>
        <c:axId val="83066030"/>
      </c:barChart>
      <c:catAx>
        <c:axId val="5532295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900" spc="-1" strike="noStrike">
                    <a:latin typeface="Arial"/>
                  </a:defRPr>
                </a:pPr>
                <a:r>
                  <a:rPr b="0" sz="900" spc="-1" strike="noStrike">
                    <a:latin typeface="Arial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83066030"/>
        <c:crosses val="autoZero"/>
        <c:auto val="1"/>
        <c:lblAlgn val="ctr"/>
        <c:lblOffset val="100"/>
        <c:noMultiLvlLbl val="0"/>
      </c:catAx>
      <c:valAx>
        <c:axId val="83066030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0" sz="900" spc="-1" strike="noStrike">
                    <a:latin typeface="Arial"/>
                  </a:defRPr>
                </a:pPr>
                <a:r>
                  <a:rPr b="0" sz="900" spc="-1" strike="noStrike">
                    <a:latin typeface="Arial"/>
                  </a:rPr>
                  <a:t>$ profit without investmentt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55322959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latin typeface="Arial"/>
              </a:defRPr>
            </a:pPr>
            <a:r>
              <a:rPr b="0" sz="1300" spc="-1" strike="noStrike">
                <a:latin typeface="Arial"/>
              </a:rPr>
              <a:t>timeline monthy with investments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Sheet1!$B$233:$M$233</c:f>
              <c:numCache>
                <c:formatCode>General</c:formatCode>
                <c:ptCount val="12"/>
                <c:pt idx="0">
                  <c:v>411900</c:v>
                </c:pt>
                <c:pt idx="1">
                  <c:v>-101200</c:v>
                </c:pt>
                <c:pt idx="2">
                  <c:v>-62820</c:v>
                </c:pt>
                <c:pt idx="3">
                  <c:v>-17020</c:v>
                </c:pt>
                <c:pt idx="4">
                  <c:v>-24167</c:v>
                </c:pt>
                <c:pt idx="5">
                  <c:v>-38167</c:v>
                </c:pt>
                <c:pt idx="6">
                  <c:v>1965833</c:v>
                </c:pt>
                <c:pt idx="7">
                  <c:v>-558487</c:v>
                </c:pt>
                <c:pt idx="8">
                  <c:v>-53334</c:v>
                </c:pt>
                <c:pt idx="9">
                  <c:v>-62917</c:v>
                </c:pt>
                <c:pt idx="10">
                  <c:v>-85117</c:v>
                </c:pt>
                <c:pt idx="11">
                  <c:v>-85117</c:v>
                </c:pt>
              </c:numCache>
            </c:numRef>
          </c:val>
        </c:ser>
        <c:gapWidth val="100"/>
        <c:overlap val="0"/>
        <c:axId val="420030"/>
        <c:axId val="1933149"/>
      </c:barChart>
      <c:catAx>
        <c:axId val="42003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900" spc="-1" strike="noStrike">
                    <a:latin typeface="Arial"/>
                  </a:defRPr>
                </a:pPr>
                <a:r>
                  <a:rPr b="0" sz="900" spc="-1" strike="noStrike">
                    <a:latin typeface="Arial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1933149"/>
        <c:crosses val="autoZero"/>
        <c:auto val="1"/>
        <c:lblAlgn val="ctr"/>
        <c:lblOffset val="100"/>
        <c:noMultiLvlLbl val="0"/>
      </c:catAx>
      <c:valAx>
        <c:axId val="1933149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0" sz="900" spc="-1" strike="noStrike">
                    <a:latin typeface="Arial"/>
                  </a:defRPr>
                </a:pPr>
                <a:r>
                  <a:rPr b="0" sz="900" spc="-1" strike="noStrike">
                    <a:latin typeface="Arial"/>
                  </a:rPr>
                  <a:t>$ monthly income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420030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latin typeface="Arial"/>
              </a:defRPr>
            </a:pPr>
            <a:r>
              <a:rPr b="0" sz="1300" spc="-1" strike="noStrike">
                <a:latin typeface="Arial"/>
              </a:rPr>
              <a:t>Total timeline income from investments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Sheet1!$B$234:$M$234</c:f>
              <c:numCache>
                <c:formatCode>General</c:formatCode>
                <c:ptCount val="12"/>
                <c:pt idx="0">
                  <c:v>411900</c:v>
                </c:pt>
                <c:pt idx="1">
                  <c:v>310700</c:v>
                </c:pt>
                <c:pt idx="2">
                  <c:v>247880</c:v>
                </c:pt>
                <c:pt idx="3">
                  <c:v>230860</c:v>
                </c:pt>
                <c:pt idx="4">
                  <c:v>206693</c:v>
                </c:pt>
                <c:pt idx="5">
                  <c:v>168526</c:v>
                </c:pt>
                <c:pt idx="6">
                  <c:v>2134359</c:v>
                </c:pt>
                <c:pt idx="7">
                  <c:v>1575872</c:v>
                </c:pt>
                <c:pt idx="8">
                  <c:v>1522538</c:v>
                </c:pt>
                <c:pt idx="9">
                  <c:v>1459621</c:v>
                </c:pt>
                <c:pt idx="10">
                  <c:v>1374504</c:v>
                </c:pt>
                <c:pt idx="11">
                  <c:v>1289387</c:v>
                </c:pt>
              </c:numCache>
            </c:numRef>
          </c:val>
        </c:ser>
        <c:gapWidth val="100"/>
        <c:overlap val="0"/>
        <c:axId val="36511116"/>
        <c:axId val="87360573"/>
      </c:barChart>
      <c:catAx>
        <c:axId val="3651111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900" spc="-1" strike="noStrike">
                    <a:latin typeface="Arial"/>
                  </a:defRPr>
                </a:pPr>
                <a:r>
                  <a:rPr b="0" sz="900" spc="-1" strike="noStrike">
                    <a:latin typeface="Arial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87360573"/>
        <c:crosses val="autoZero"/>
        <c:auto val="1"/>
        <c:lblAlgn val="ctr"/>
        <c:lblOffset val="100"/>
        <c:noMultiLvlLbl val="0"/>
      </c:catAx>
      <c:valAx>
        <c:axId val="87360573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0" sz="900" spc="-1" strike="noStrike">
                    <a:latin typeface="Arial"/>
                  </a:defRPr>
                </a:pPr>
                <a:r>
                  <a:rPr b="0" sz="900" spc="-1" strike="noStrike">
                    <a:latin typeface="Arial"/>
                  </a:rPr>
                  <a:t>$ total income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36511116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83520</xdr:colOff>
      <xdr:row>259</xdr:row>
      <xdr:rowOff>54000</xdr:rowOff>
    </xdr:from>
    <xdr:to>
      <xdr:col>8</xdr:col>
      <xdr:colOff>153720</xdr:colOff>
      <xdr:row>279</xdr:row>
      <xdr:rowOff>42480</xdr:rowOff>
    </xdr:to>
    <xdr:graphicFrame>
      <xdr:nvGraphicFramePr>
        <xdr:cNvPr id="0" name=""/>
        <xdr:cNvGraphicFramePr/>
      </xdr:nvGraphicFramePr>
      <xdr:xfrm>
        <a:off x="896400" y="4451724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20880</xdr:colOff>
      <xdr:row>238</xdr:row>
      <xdr:rowOff>45720</xdr:rowOff>
    </xdr:from>
    <xdr:to>
      <xdr:col>8</xdr:col>
      <xdr:colOff>91080</xdr:colOff>
      <xdr:row>258</xdr:row>
      <xdr:rowOff>34200</xdr:rowOff>
    </xdr:to>
    <xdr:graphicFrame>
      <xdr:nvGraphicFramePr>
        <xdr:cNvPr id="1" name=""/>
        <xdr:cNvGraphicFramePr/>
      </xdr:nvGraphicFramePr>
      <xdr:xfrm>
        <a:off x="833760" y="4109544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28080</xdr:colOff>
      <xdr:row>280</xdr:row>
      <xdr:rowOff>57240</xdr:rowOff>
    </xdr:from>
    <xdr:to>
      <xdr:col>8</xdr:col>
      <xdr:colOff>98280</xdr:colOff>
      <xdr:row>300</xdr:row>
      <xdr:rowOff>45360</xdr:rowOff>
    </xdr:to>
    <xdr:graphicFrame>
      <xdr:nvGraphicFramePr>
        <xdr:cNvPr id="2" name=""/>
        <xdr:cNvGraphicFramePr/>
      </xdr:nvGraphicFramePr>
      <xdr:xfrm>
        <a:off x="840960" y="47934360"/>
        <a:ext cx="5759640" cy="32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</xdr:col>
      <xdr:colOff>56520</xdr:colOff>
      <xdr:row>300</xdr:row>
      <xdr:rowOff>136800</xdr:rowOff>
    </xdr:from>
    <xdr:to>
      <xdr:col>8</xdr:col>
      <xdr:colOff>126720</xdr:colOff>
      <xdr:row>320</xdr:row>
      <xdr:rowOff>125280</xdr:rowOff>
    </xdr:to>
    <xdr:graphicFrame>
      <xdr:nvGraphicFramePr>
        <xdr:cNvPr id="3" name=""/>
        <xdr:cNvGraphicFramePr/>
      </xdr:nvGraphicFramePr>
      <xdr:xfrm>
        <a:off x="869400" y="5126508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mailto:sergesclv@gmail.com" TargetMode="External"/><Relationship Id="rId3" Type="http://schemas.openxmlformats.org/officeDocument/2006/relationships/hyperlink" Target="mailto:sergesclv3@protonmail.com" TargetMode="External"/><Relationship Id="rId4" Type="http://schemas.openxmlformats.org/officeDocument/2006/relationships/hyperlink" Target="https://ru.linkedin.com/in/serge-sokolov-abb5319" TargetMode="External"/><Relationship Id="rId5" Type="http://schemas.openxmlformats.org/officeDocument/2006/relationships/hyperlink" Target="https://x.com/SeregeSokolov" TargetMode="External"/><Relationship Id="rId6" Type="http://schemas.openxmlformats.org/officeDocument/2006/relationships/hyperlink" Target="https://github.com/serge-scl/mini-keyboard" TargetMode="External"/><Relationship Id="rId7" Type="http://schemas.openxmlformats.org/officeDocument/2006/relationships/hyperlink" Target="https://www.facebook.com/sergesclv/" TargetMode="External"/><Relationship Id="rId8" Type="http://schemas.openxmlformats.org/officeDocument/2006/relationships/hyperlink" Target="https://maker.pro/raspberry-pi/projects/mouse-keyboard-pyramids" TargetMode="External"/><Relationship Id="rId9" Type="http://schemas.openxmlformats.org/officeDocument/2006/relationships/drawing" Target="../drawings/drawing1.xml"/><Relationship Id="rId10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34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1" activeCellId="0" sqref="A11"/>
    </sheetView>
  </sheetViews>
  <sheetFormatPr defaultColWidth="11.53515625" defaultRowHeight="12.8" zeroHeight="false" outlineLevelRow="0" outlineLevelCol="0"/>
  <sheetData>
    <row r="1" s="1" customFormat="true" ht="12.8" hidden="false" customHeight="false" outlineLevel="0" collapsed="false"/>
    <row r="2" s="1" customFormat="true" ht="12.8" hidden="false" customHeight="false" outlineLevel="0" collapsed="false"/>
    <row r="3" s="2" customFormat="true" ht="12.8" hidden="false" customHeight="false" outlineLevel="0" collapsed="false"/>
    <row r="4" s="2" customFormat="true" ht="29.15" hidden="false" customHeight="false" outlineLevel="0" collapsed="false">
      <c r="D4" s="3" t="s">
        <v>0</v>
      </c>
    </row>
    <row r="5" s="2" customFormat="true" ht="12.8" hidden="false" customHeight="false" outlineLevel="0" collapsed="false"/>
    <row r="6" s="4" customFormat="true" ht="12.8" hidden="false" customHeight="false" outlineLevel="0" collapsed="false"/>
    <row r="7" s="5" customFormat="true" ht="12.8" hidden="false" customHeight="false" outlineLevel="0" collapsed="false"/>
    <row r="8" s="6" customFormat="true" ht="12.8" hidden="false" customHeight="false" outlineLevel="0" collapsed="false">
      <c r="C8" s="7" t="s">
        <v>1</v>
      </c>
    </row>
    <row r="9" s="6" customFormat="true" ht="12.8" hidden="false" customHeight="false" outlineLevel="0" collapsed="false">
      <c r="C9" s="7" t="s">
        <v>2</v>
      </c>
    </row>
    <row r="10" s="6" customFormat="true" ht="12.8" hidden="false" customHeight="false" outlineLevel="0" collapsed="false">
      <c r="C10" s="7" t="s">
        <v>3</v>
      </c>
    </row>
    <row r="11" s="6" customFormat="true" ht="12.8" hidden="false" customHeight="false" outlineLevel="0" collapsed="false">
      <c r="C11" s="7"/>
    </row>
    <row r="12" s="8" customFormat="true" ht="12.8" hidden="false" customHeight="false" outlineLevel="0" collapsed="false"/>
    <row r="13" s="9" customFormat="true" ht="22.05" hidden="false" customHeight="false" outlineLevel="0" collapsed="false">
      <c r="D13" s="10" t="s">
        <v>4</v>
      </c>
    </row>
    <row r="14" s="9" customFormat="true" ht="17.35" hidden="false" customHeight="false" outlineLevel="0" collapsed="false">
      <c r="C14" s="11"/>
    </row>
    <row r="15" s="9" customFormat="true" ht="17.35" hidden="false" customHeight="false" outlineLevel="0" collapsed="false">
      <c r="C15" s="12" t="s">
        <v>5</v>
      </c>
      <c r="F15" s="11" t="s">
        <v>6</v>
      </c>
      <c r="G15" s="11" t="n">
        <v>420000</v>
      </c>
      <c r="H15" s="13"/>
    </row>
    <row r="16" s="9" customFormat="true" ht="17.35" hidden="false" customHeight="false" outlineLevel="0" collapsed="false">
      <c r="C16" s="12" t="s">
        <v>7</v>
      </c>
      <c r="F16" s="11" t="s">
        <v>8</v>
      </c>
      <c r="G16" s="11" t="n">
        <v>100000</v>
      </c>
      <c r="H16" s="13"/>
    </row>
    <row r="17" s="9" customFormat="true" ht="17.35" hidden="false" customHeight="false" outlineLevel="0" collapsed="false">
      <c r="C17" s="11" t="s">
        <v>9</v>
      </c>
      <c r="F17" s="11" t="s">
        <v>6</v>
      </c>
      <c r="G17" s="11" t="n">
        <f aca="false">G16*H140</f>
        <v>19900000</v>
      </c>
    </row>
    <row r="18" s="9" customFormat="true" ht="17.35" hidden="false" customHeight="false" outlineLevel="0" collapsed="false">
      <c r="C18" s="11" t="s">
        <v>10</v>
      </c>
      <c r="F18" s="11" t="s">
        <v>6</v>
      </c>
      <c r="G18" s="11" t="n">
        <f aca="false">G17*0.1</f>
        <v>1990000</v>
      </c>
    </row>
    <row r="19" s="9" customFormat="true" ht="12.8" hidden="false" customHeight="false" outlineLevel="0" collapsed="false"/>
    <row r="20" s="6" customFormat="true" ht="15" hidden="false" customHeight="false" outlineLevel="0" collapsed="false">
      <c r="C20" s="14" t="s">
        <v>11</v>
      </c>
    </row>
    <row r="21" s="6" customFormat="true" ht="15" hidden="false" customHeight="false" outlineLevel="0" collapsed="false">
      <c r="C21" s="14" t="s">
        <v>12</v>
      </c>
    </row>
    <row r="22" s="6" customFormat="true" ht="15" hidden="false" customHeight="false" outlineLevel="0" collapsed="false">
      <c r="C22" s="14" t="s">
        <v>13</v>
      </c>
    </row>
    <row r="23" s="6" customFormat="true" ht="15" hidden="false" customHeight="false" outlineLevel="0" collapsed="false">
      <c r="C23" s="14" t="s">
        <v>14</v>
      </c>
    </row>
    <row r="24" s="15" customFormat="true" ht="12.8" hidden="false" customHeight="false" outlineLevel="0" collapsed="false"/>
    <row r="25" s="16" customFormat="true" ht="12.8" hidden="false" customHeight="false" outlineLevel="0" collapsed="false"/>
    <row r="26" s="16" customFormat="true" ht="22.05" hidden="false" customHeight="false" outlineLevel="0" collapsed="false">
      <c r="D26" s="17" t="s">
        <v>15</v>
      </c>
    </row>
    <row r="27" s="16" customFormat="true" ht="12.8" hidden="false" customHeight="false" outlineLevel="0" collapsed="false"/>
    <row r="28" s="16" customFormat="true" ht="17.35" hidden="false" customHeight="false" outlineLevel="0" collapsed="false">
      <c r="B28" s="18" t="s">
        <v>16</v>
      </c>
      <c r="E28" s="18" t="n">
        <f aca="false">G32+G33+G34+G36</f>
        <v>6500</v>
      </c>
      <c r="F28" s="18" t="n">
        <f aca="false">G32+G33+G34+G37</f>
        <v>8100</v>
      </c>
    </row>
    <row r="29" s="16" customFormat="true" ht="12.8" hidden="false" customHeight="false" outlineLevel="0" collapsed="false"/>
    <row r="30" s="16" customFormat="true" ht="29.3" hidden="false" customHeight="false" outlineLevel="0" collapsed="false">
      <c r="F30" s="19" t="s">
        <v>17</v>
      </c>
      <c r="G30" s="20" t="s">
        <v>18</v>
      </c>
      <c r="H30" s="21" t="s">
        <v>19</v>
      </c>
      <c r="I30" s="22" t="s">
        <v>20</v>
      </c>
      <c r="J30" s="23" t="s">
        <v>21</v>
      </c>
      <c r="K30" s="24"/>
    </row>
    <row r="31" s="16" customFormat="true" ht="12.8" hidden="false" customHeight="false" outlineLevel="0" collapsed="false">
      <c r="F31" s="25"/>
      <c r="G31" s="26"/>
      <c r="H31" s="27"/>
      <c r="I31" s="28"/>
      <c r="J31" s="24"/>
      <c r="K31" s="24"/>
    </row>
    <row r="32" s="16" customFormat="true" ht="12.8" hidden="false" customHeight="false" outlineLevel="0" collapsed="false">
      <c r="C32" s="16" t="s">
        <v>22</v>
      </c>
      <c r="F32" s="25"/>
      <c r="G32" s="26" t="n">
        <f aca="false">H32*I32</f>
        <v>1200</v>
      </c>
      <c r="H32" s="27" t="n">
        <v>600</v>
      </c>
      <c r="I32" s="28" t="n">
        <v>2</v>
      </c>
      <c r="J32" s="24"/>
      <c r="K32" s="24"/>
    </row>
    <row r="33" s="16" customFormat="true" ht="12.8" hidden="false" customHeight="false" outlineLevel="0" collapsed="false">
      <c r="C33" s="16" t="s">
        <v>23</v>
      </c>
      <c r="F33" s="25"/>
      <c r="G33" s="26" t="n">
        <f aca="false">H33*I33</f>
        <v>1400</v>
      </c>
      <c r="H33" s="27" t="n">
        <v>700</v>
      </c>
      <c r="I33" s="28" t="n">
        <v>2</v>
      </c>
      <c r="J33" s="24" t="n">
        <v>7</v>
      </c>
      <c r="K33" s="24" t="s">
        <v>24</v>
      </c>
    </row>
    <row r="34" s="16" customFormat="true" ht="12.8" hidden="false" customHeight="false" outlineLevel="0" collapsed="false">
      <c r="C34" s="16" t="s">
        <v>25</v>
      </c>
      <c r="F34" s="25"/>
      <c r="G34" s="26" t="n">
        <f aca="false">H34*I34</f>
        <v>2000</v>
      </c>
      <c r="H34" s="27" t="n">
        <v>1000</v>
      </c>
      <c r="I34" s="28" t="n">
        <v>2</v>
      </c>
      <c r="J34" s="24" t="n">
        <v>7</v>
      </c>
      <c r="K34" s="24" t="s">
        <v>24</v>
      </c>
    </row>
    <row r="35" s="16" customFormat="true" ht="12.8" hidden="false" customHeight="false" outlineLevel="0" collapsed="false">
      <c r="C35" s="16" t="s">
        <v>26</v>
      </c>
      <c r="F35" s="25"/>
      <c r="G35" s="26"/>
      <c r="H35" s="27"/>
      <c r="I35" s="28"/>
      <c r="J35" s="24"/>
      <c r="K35" s="24"/>
    </row>
    <row r="36" s="16" customFormat="true" ht="12.8" hidden="false" customHeight="false" outlineLevel="0" collapsed="false">
      <c r="D36" s="16" t="s">
        <v>27</v>
      </c>
      <c r="F36" s="25"/>
      <c r="G36" s="26" t="n">
        <v>1900</v>
      </c>
      <c r="H36" s="27"/>
      <c r="I36" s="28"/>
      <c r="J36" s="24"/>
      <c r="K36" s="24"/>
    </row>
    <row r="37" s="16" customFormat="true" ht="12.8" hidden="false" customHeight="false" outlineLevel="0" collapsed="false">
      <c r="D37" s="16" t="s">
        <v>28</v>
      </c>
      <c r="F37" s="25"/>
      <c r="G37" s="26" t="n">
        <v>3500</v>
      </c>
      <c r="H37" s="27"/>
      <c r="I37" s="28"/>
      <c r="J37" s="24"/>
      <c r="K37" s="24"/>
    </row>
    <row r="38" s="16" customFormat="true" ht="15" hidden="false" customHeight="false" outlineLevel="0" collapsed="false">
      <c r="B38" s="29" t="s">
        <v>29</v>
      </c>
      <c r="F38" s="25"/>
      <c r="G38" s="26"/>
      <c r="H38" s="27"/>
      <c r="I38" s="28"/>
      <c r="J38" s="24"/>
      <c r="K38" s="24"/>
    </row>
    <row r="39" s="16" customFormat="true" ht="12.8" hidden="false" customHeight="false" outlineLevel="0" collapsed="false">
      <c r="E39" s="16" t="s">
        <v>27</v>
      </c>
      <c r="F39" s="25" t="n">
        <f aca="false">G15-E28</f>
        <v>413500</v>
      </c>
      <c r="G39" s="26"/>
      <c r="H39" s="27"/>
      <c r="I39" s="28"/>
      <c r="J39" s="24"/>
      <c r="K39" s="24"/>
    </row>
    <row r="40" s="16" customFormat="true" ht="12.8" hidden="false" customHeight="false" outlineLevel="0" collapsed="false">
      <c r="E40" s="16" t="s">
        <v>28</v>
      </c>
      <c r="F40" s="25" t="n">
        <f aca="false">G15-F28</f>
        <v>411900</v>
      </c>
      <c r="G40" s="26"/>
      <c r="H40" s="27"/>
      <c r="I40" s="28"/>
      <c r="J40" s="24"/>
      <c r="K40" s="24"/>
    </row>
    <row r="41" s="16" customFormat="true" ht="12.8" hidden="false" customHeight="false" outlineLevel="0" collapsed="false">
      <c r="F41" s="25"/>
      <c r="G41" s="26"/>
      <c r="H41" s="27"/>
      <c r="I41" s="28"/>
      <c r="J41" s="24"/>
      <c r="K41" s="24"/>
    </row>
    <row r="42" s="16" customFormat="true" ht="12.8" hidden="false" customHeight="false" outlineLevel="0" collapsed="false">
      <c r="C42" s="16" t="s">
        <v>30</v>
      </c>
      <c r="F42" s="25"/>
      <c r="G42" s="26" t="n">
        <f aca="false">H42*J42*I42</f>
        <v>61200</v>
      </c>
      <c r="H42" s="27" t="n">
        <v>1700</v>
      </c>
      <c r="I42" s="28" t="n">
        <v>4</v>
      </c>
      <c r="J42" s="24" t="n">
        <v>9</v>
      </c>
      <c r="K42" s="24" t="s">
        <v>31</v>
      </c>
    </row>
    <row r="43" s="16" customFormat="true" ht="12.8" hidden="false" customHeight="false" outlineLevel="0" collapsed="false">
      <c r="C43" s="16" t="s">
        <v>32</v>
      </c>
      <c r="F43" s="25"/>
      <c r="G43" s="26" t="n">
        <f aca="false">H43*I43</f>
        <v>40000</v>
      </c>
      <c r="H43" s="27" t="n">
        <v>10000</v>
      </c>
      <c r="I43" s="28" t="n">
        <v>4</v>
      </c>
      <c r="J43" s="24"/>
      <c r="K43" s="24"/>
    </row>
    <row r="44" s="16" customFormat="true" ht="12.8" hidden="false" customHeight="false" outlineLevel="0" collapsed="false">
      <c r="C44" s="16" t="s">
        <v>33</v>
      </c>
      <c r="F44" s="25"/>
      <c r="G44" s="26" t="n">
        <f aca="false">H44*I44</f>
        <v>57820</v>
      </c>
      <c r="H44" s="27" t="n">
        <v>5782</v>
      </c>
      <c r="I44" s="28" t="n">
        <v>10</v>
      </c>
      <c r="J44" s="24"/>
      <c r="K44" s="24"/>
    </row>
    <row r="45" s="16" customFormat="true" ht="17.35" hidden="false" customHeight="false" outlineLevel="0" collapsed="false">
      <c r="B45" s="18" t="s">
        <v>34</v>
      </c>
      <c r="F45" s="25"/>
      <c r="G45" s="26"/>
      <c r="H45" s="30" t="s">
        <v>35</v>
      </c>
      <c r="I45" s="31" t="s">
        <v>36</v>
      </c>
      <c r="J45" s="24"/>
      <c r="K45" s="24"/>
    </row>
    <row r="46" s="16" customFormat="true" ht="12.8" hidden="false" customHeight="false" outlineLevel="0" collapsed="false">
      <c r="C46" s="16" t="s">
        <v>37</v>
      </c>
      <c r="F46" s="25"/>
      <c r="G46" s="26" t="n">
        <f aca="false">H46*I46*J46/12</f>
        <v>90000</v>
      </c>
      <c r="H46" s="32" t="n">
        <v>60000</v>
      </c>
      <c r="I46" s="33" t="n">
        <v>2</v>
      </c>
      <c r="J46" s="24" t="n">
        <v>9</v>
      </c>
      <c r="K46" s="24" t="s">
        <v>31</v>
      </c>
    </row>
    <row r="47" s="16" customFormat="true" ht="12.8" hidden="false" customHeight="false" outlineLevel="0" collapsed="false">
      <c r="C47" s="16" t="s">
        <v>38</v>
      </c>
      <c r="F47" s="25"/>
      <c r="G47" s="26" t="n">
        <f aca="false">H47*I47*J47/12</f>
        <v>15000</v>
      </c>
      <c r="H47" s="32" t="n">
        <v>60000</v>
      </c>
      <c r="I47" s="33" t="n">
        <v>1</v>
      </c>
      <c r="J47" s="24" t="n">
        <v>3</v>
      </c>
      <c r="K47" s="24" t="s">
        <v>31</v>
      </c>
    </row>
    <row r="48" s="16" customFormat="true" ht="12.8" hidden="false" customHeight="false" outlineLevel="0" collapsed="false">
      <c r="C48" s="16" t="s">
        <v>39</v>
      </c>
      <c r="F48" s="25"/>
      <c r="G48" s="26" t="n">
        <f aca="false">H48*J48*I48/12</f>
        <v>30000</v>
      </c>
      <c r="H48" s="32" t="n">
        <v>60000</v>
      </c>
      <c r="I48" s="33" t="n">
        <v>1</v>
      </c>
      <c r="J48" s="24" t="n">
        <v>6</v>
      </c>
      <c r="K48" s="24" t="s">
        <v>31</v>
      </c>
    </row>
    <row r="49" s="16" customFormat="true" ht="12.8" hidden="false" customHeight="false" outlineLevel="0" collapsed="false">
      <c r="C49" s="16" t="s">
        <v>40</v>
      </c>
      <c r="F49" s="25"/>
      <c r="G49" s="26" t="n">
        <f aca="false">H49*I49*J49/12</f>
        <v>30000</v>
      </c>
      <c r="H49" s="32" t="n">
        <v>60000</v>
      </c>
      <c r="I49" s="33" t="n">
        <v>1</v>
      </c>
      <c r="J49" s="24" t="n">
        <v>6</v>
      </c>
      <c r="K49" s="24" t="s">
        <v>31</v>
      </c>
    </row>
    <row r="50" s="16" customFormat="true" ht="12.8" hidden="false" customHeight="false" outlineLevel="0" collapsed="false">
      <c r="C50" s="16" t="s">
        <v>41</v>
      </c>
      <c r="F50" s="25"/>
      <c r="G50" s="26"/>
      <c r="I50" s="33" t="n">
        <f aca="false">SUM(I46:I49)</f>
        <v>5</v>
      </c>
    </row>
    <row r="51" s="16" customFormat="true" ht="12.8" hidden="false" customHeight="false" outlineLevel="0" collapsed="false">
      <c r="F51" s="25"/>
      <c r="G51" s="26"/>
    </row>
    <row r="52" s="16" customFormat="true" ht="15" hidden="false" customHeight="false" outlineLevel="0" collapsed="false">
      <c r="B52" s="29" t="s">
        <v>42</v>
      </c>
      <c r="F52" s="25"/>
      <c r="G52" s="26"/>
    </row>
    <row r="53" s="16" customFormat="true" ht="12.8" hidden="false" customHeight="false" outlineLevel="0" collapsed="false">
      <c r="C53" s="16" t="s">
        <v>43</v>
      </c>
      <c r="F53" s="25"/>
      <c r="G53" s="26" t="n">
        <v>2000</v>
      </c>
    </row>
    <row r="54" s="16" customFormat="true" ht="12.8" hidden="false" customHeight="false" outlineLevel="0" collapsed="false">
      <c r="C54" s="16" t="s">
        <v>44</v>
      </c>
      <c r="F54" s="25"/>
      <c r="G54" s="26" t="n">
        <v>20</v>
      </c>
    </row>
    <row r="55" s="16" customFormat="true" ht="12.8" hidden="false" customHeight="false" outlineLevel="0" collapsed="false">
      <c r="C55" s="16" t="s">
        <v>45</v>
      </c>
      <c r="F55" s="25"/>
      <c r="G55" s="26" t="n">
        <v>10000</v>
      </c>
    </row>
    <row r="56" s="16" customFormat="true" ht="12.8" hidden="false" customHeight="false" outlineLevel="0" collapsed="false">
      <c r="C56" s="16" t="s">
        <v>46</v>
      </c>
      <c r="F56" s="25"/>
      <c r="G56" s="26" t="n">
        <v>30000</v>
      </c>
    </row>
    <row r="57" s="16" customFormat="true" ht="12.8" hidden="false" customHeight="false" outlineLevel="0" collapsed="false">
      <c r="C57" s="16" t="s">
        <v>47</v>
      </c>
      <c r="F57" s="25"/>
      <c r="G57" s="26" t="n">
        <v>5000</v>
      </c>
    </row>
    <row r="58" s="16" customFormat="true" ht="12.8" hidden="false" customHeight="false" outlineLevel="0" collapsed="false">
      <c r="F58" s="25"/>
      <c r="G58" s="26"/>
    </row>
    <row r="59" s="16" customFormat="true" ht="12.8" hidden="false" customHeight="false" outlineLevel="0" collapsed="false">
      <c r="C59" s="16" t="s">
        <v>41</v>
      </c>
      <c r="F59" s="25"/>
      <c r="G59" s="26" t="n">
        <f aca="false">SUM(G42:G58)</f>
        <v>371040</v>
      </c>
    </row>
    <row r="60" s="16" customFormat="true" ht="12.8" hidden="false" customHeight="false" outlineLevel="0" collapsed="false">
      <c r="C60" s="16" t="s">
        <v>48</v>
      </c>
      <c r="F60" s="25"/>
      <c r="G60" s="34"/>
    </row>
    <row r="61" s="16" customFormat="true" ht="12.8" hidden="false" customHeight="false" outlineLevel="0" collapsed="false">
      <c r="E61" s="16" t="s">
        <v>27</v>
      </c>
      <c r="F61" s="25" t="n">
        <f aca="false">F39-G59</f>
        <v>42460</v>
      </c>
      <c r="G61" s="34"/>
    </row>
    <row r="62" s="16" customFormat="true" ht="12.8" hidden="false" customHeight="false" outlineLevel="0" collapsed="false">
      <c r="E62" s="16" t="s">
        <v>28</v>
      </c>
      <c r="F62" s="25" t="n">
        <f aca="false">F40-G59</f>
        <v>40860</v>
      </c>
      <c r="G62" s="34"/>
    </row>
    <row r="63" s="16" customFormat="true" ht="12.8" hidden="false" customHeight="false" outlineLevel="0" collapsed="false">
      <c r="F63" s="25"/>
      <c r="G63" s="34"/>
    </row>
    <row r="64" s="16" customFormat="true" ht="12.8" hidden="false" customHeight="false" outlineLevel="0" collapsed="false">
      <c r="F64" s="25"/>
      <c r="G64" s="34"/>
    </row>
    <row r="65" s="35" customFormat="true" ht="12.8" hidden="false" customHeight="false" outlineLevel="0" collapsed="false">
      <c r="F65" s="36"/>
      <c r="G65" s="37"/>
    </row>
    <row r="66" s="38" customFormat="true" ht="12.8" hidden="false" customHeight="false" outlineLevel="0" collapsed="false"/>
    <row r="67" s="38" customFormat="true" ht="19.7" hidden="false" customHeight="false" outlineLevel="0" collapsed="false">
      <c r="B67" s="39" t="s">
        <v>49</v>
      </c>
    </row>
    <row r="68" s="38" customFormat="true" ht="12.8" hidden="false" customHeight="false" outlineLevel="0" collapsed="false"/>
    <row r="69" s="38" customFormat="true" ht="15" hidden="false" customHeight="false" outlineLevel="0" collapsed="false">
      <c r="C69" s="40" t="s">
        <v>50</v>
      </c>
      <c r="F69" s="41" t="s">
        <v>20</v>
      </c>
      <c r="G69" s="42" t="s">
        <v>51</v>
      </c>
      <c r="H69" s="43" t="s">
        <v>52</v>
      </c>
    </row>
    <row r="70" s="38" customFormat="true" ht="12.8" hidden="false" customHeight="false" outlineLevel="0" collapsed="false">
      <c r="D70" s="38" t="n">
        <v>1</v>
      </c>
      <c r="F70" s="44" t="n">
        <v>6</v>
      </c>
      <c r="G70" s="38" t="n">
        <v>10</v>
      </c>
      <c r="H70" s="44" t="n">
        <f aca="false">G70*F70</f>
        <v>60</v>
      </c>
    </row>
    <row r="71" s="38" customFormat="true" ht="12.8" hidden="false" customHeight="false" outlineLevel="0" collapsed="false">
      <c r="D71" s="38" t="n">
        <v>2</v>
      </c>
      <c r="F71" s="44" t="n">
        <v>17</v>
      </c>
      <c r="G71" s="38" t="n">
        <v>10</v>
      </c>
      <c r="H71" s="44" t="n">
        <f aca="false">G71*F71</f>
        <v>170</v>
      </c>
    </row>
    <row r="72" s="38" customFormat="true" ht="12.8" hidden="false" customHeight="false" outlineLevel="0" collapsed="false">
      <c r="D72" s="38" t="n">
        <v>3</v>
      </c>
      <c r="F72" s="44" t="n">
        <f aca="false">F70+F71 - 2 - 4</f>
        <v>17</v>
      </c>
      <c r="G72" s="38" t="n">
        <v>15</v>
      </c>
      <c r="H72" s="44" t="n">
        <f aca="false">G72*F72</f>
        <v>255</v>
      </c>
    </row>
    <row r="73" s="38" customFormat="true" ht="12.8" hidden="false" customHeight="false" outlineLevel="0" collapsed="false">
      <c r="D73" s="38" t="n">
        <v>4</v>
      </c>
      <c r="F73" s="44" t="n">
        <v>3</v>
      </c>
      <c r="G73" s="38" t="n">
        <v>10</v>
      </c>
      <c r="H73" s="44" t="n">
        <f aca="false">G73*F73</f>
        <v>30</v>
      </c>
    </row>
    <row r="74" s="38" customFormat="true" ht="12.8" hidden="false" customHeight="false" outlineLevel="0" collapsed="false">
      <c r="D74" s="38" t="n">
        <v>5</v>
      </c>
      <c r="F74" s="44" t="n">
        <v>3</v>
      </c>
      <c r="G74" s="38" t="n">
        <v>10</v>
      </c>
      <c r="H74" s="44" t="n">
        <f aca="false">G74*F74</f>
        <v>30</v>
      </c>
    </row>
    <row r="75" s="38" customFormat="true" ht="12.8" hidden="false" customHeight="false" outlineLevel="0" collapsed="false">
      <c r="D75" s="38" t="n">
        <v>6</v>
      </c>
      <c r="F75" s="44" t="n">
        <v>8</v>
      </c>
      <c r="G75" s="38" t="n">
        <v>15</v>
      </c>
      <c r="H75" s="44" t="n">
        <f aca="false">G75*F75</f>
        <v>120</v>
      </c>
    </row>
    <row r="76" s="38" customFormat="true" ht="12.8" hidden="false" customHeight="false" outlineLevel="0" collapsed="false">
      <c r="D76" s="38" t="n">
        <v>7</v>
      </c>
      <c r="F76" s="44" t="n">
        <v>3</v>
      </c>
      <c r="G76" s="38" t="n">
        <v>15</v>
      </c>
      <c r="H76" s="44" t="n">
        <f aca="false">G76*F76</f>
        <v>45</v>
      </c>
    </row>
    <row r="77" s="38" customFormat="true" ht="12.8" hidden="false" customHeight="false" outlineLevel="0" collapsed="false">
      <c r="D77" s="38" t="n">
        <v>8</v>
      </c>
      <c r="F77" s="44" t="n">
        <v>2</v>
      </c>
      <c r="G77" s="38" t="n">
        <v>10</v>
      </c>
      <c r="H77" s="44" t="n">
        <f aca="false">G77*F77</f>
        <v>20</v>
      </c>
    </row>
    <row r="78" s="38" customFormat="true" ht="12.8" hidden="false" customHeight="false" outlineLevel="0" collapsed="false">
      <c r="D78" s="38" t="n">
        <v>9</v>
      </c>
      <c r="F78" s="44" t="n">
        <v>2</v>
      </c>
      <c r="G78" s="38" t="n">
        <v>10</v>
      </c>
      <c r="H78" s="44" t="n">
        <f aca="false">G78*F78</f>
        <v>20</v>
      </c>
    </row>
    <row r="79" s="38" customFormat="true" ht="12.8" hidden="false" customHeight="false" outlineLevel="0" collapsed="false">
      <c r="D79" s="38" t="n">
        <v>10</v>
      </c>
      <c r="F79" s="44" t="n">
        <v>1</v>
      </c>
      <c r="G79" s="38" t="n">
        <v>15</v>
      </c>
      <c r="H79" s="44" t="n">
        <f aca="false">G79*F79</f>
        <v>15</v>
      </c>
    </row>
    <row r="80" s="38" customFormat="true" ht="12.8" hidden="false" customHeight="false" outlineLevel="0" collapsed="false">
      <c r="D80" s="38" t="n">
        <v>11</v>
      </c>
      <c r="F80" s="44" t="n">
        <v>1</v>
      </c>
      <c r="G80" s="38" t="n">
        <v>10</v>
      </c>
      <c r="H80" s="44" t="n">
        <f aca="false">G80*F80</f>
        <v>10</v>
      </c>
    </row>
    <row r="81" s="38" customFormat="true" ht="12.8" hidden="false" customHeight="false" outlineLevel="0" collapsed="false">
      <c r="D81" s="38" t="n">
        <v>12</v>
      </c>
      <c r="F81" s="44" t="n">
        <v>2</v>
      </c>
      <c r="G81" s="38" t="n">
        <v>10</v>
      </c>
      <c r="H81" s="44" t="n">
        <f aca="false">G81*F81</f>
        <v>20</v>
      </c>
    </row>
    <row r="82" s="38" customFormat="true" ht="12.8" hidden="false" customHeight="false" outlineLevel="0" collapsed="false">
      <c r="D82" s="38" t="n">
        <v>13</v>
      </c>
      <c r="F82" s="44" t="n">
        <v>2</v>
      </c>
      <c r="G82" s="38" t="n">
        <v>15</v>
      </c>
      <c r="H82" s="44" t="n">
        <f aca="false">G82*F82</f>
        <v>30</v>
      </c>
    </row>
    <row r="83" s="38" customFormat="true" ht="12.8" hidden="false" customHeight="false" outlineLevel="0" collapsed="false">
      <c r="D83" s="38" t="n">
        <v>14</v>
      </c>
      <c r="F83" s="44" t="n">
        <v>1</v>
      </c>
      <c r="G83" s="38" t="n">
        <v>10</v>
      </c>
      <c r="H83" s="44" t="n">
        <f aca="false">G83*F83</f>
        <v>10</v>
      </c>
    </row>
    <row r="84" s="38" customFormat="true" ht="12.8" hidden="false" customHeight="false" outlineLevel="0" collapsed="false">
      <c r="D84" s="38" t="n">
        <v>15</v>
      </c>
      <c r="F84" s="44" t="n">
        <v>18</v>
      </c>
      <c r="G84" s="38" t="n">
        <v>10</v>
      </c>
      <c r="H84" s="44" t="n">
        <f aca="false">G84*F84</f>
        <v>180</v>
      </c>
    </row>
    <row r="85" s="38" customFormat="true" ht="12.8" hidden="false" customHeight="false" outlineLevel="0" collapsed="false">
      <c r="D85" s="38" t="n">
        <v>16</v>
      </c>
      <c r="F85" s="44" t="n">
        <v>6</v>
      </c>
      <c r="G85" s="38" t="n">
        <v>10</v>
      </c>
      <c r="H85" s="44" t="n">
        <f aca="false">G85*F85</f>
        <v>60</v>
      </c>
    </row>
    <row r="86" s="38" customFormat="true" ht="12.8" hidden="false" customHeight="false" outlineLevel="0" collapsed="false">
      <c r="D86" s="38" t="n">
        <v>17</v>
      </c>
      <c r="F86" s="44" t="n">
        <v>1</v>
      </c>
      <c r="G86" s="38" t="n">
        <v>10</v>
      </c>
      <c r="H86" s="44" t="n">
        <f aca="false">G86*F86</f>
        <v>10</v>
      </c>
    </row>
    <row r="87" s="38" customFormat="true" ht="12.8" hidden="false" customHeight="false" outlineLevel="0" collapsed="false">
      <c r="D87" s="38" t="n">
        <v>18</v>
      </c>
      <c r="F87" s="44" t="n">
        <v>5</v>
      </c>
      <c r="G87" s="38" t="n">
        <v>10</v>
      </c>
      <c r="H87" s="44" t="n">
        <f aca="false">G87*F87</f>
        <v>50</v>
      </c>
    </row>
    <row r="88" s="38" customFormat="true" ht="12.8" hidden="false" customHeight="false" outlineLevel="0" collapsed="false">
      <c r="D88" s="38" t="n">
        <v>19</v>
      </c>
      <c r="F88" s="44" t="n">
        <v>4</v>
      </c>
      <c r="G88" s="38" t="n">
        <v>10</v>
      </c>
      <c r="H88" s="44" t="n">
        <f aca="false">G88*F88</f>
        <v>40</v>
      </c>
    </row>
    <row r="89" s="38" customFormat="true" ht="12.8" hidden="false" customHeight="false" outlineLevel="0" collapsed="false">
      <c r="D89" s="38" t="n">
        <v>20</v>
      </c>
      <c r="F89" s="44" t="n">
        <v>1</v>
      </c>
      <c r="G89" s="38" t="n">
        <v>15</v>
      </c>
      <c r="H89" s="44" t="n">
        <f aca="false">G89*F89</f>
        <v>15</v>
      </c>
    </row>
    <row r="90" s="38" customFormat="true" ht="12.8" hidden="false" customHeight="false" outlineLevel="0" collapsed="false">
      <c r="D90" s="38" t="n">
        <v>21</v>
      </c>
      <c r="F90" s="44" t="n">
        <v>4</v>
      </c>
      <c r="G90" s="38" t="n">
        <v>10</v>
      </c>
      <c r="H90" s="44" t="n">
        <f aca="false">G90*F90</f>
        <v>40</v>
      </c>
    </row>
    <row r="91" s="45" customFormat="true" ht="12.8" hidden="false" customHeight="false" outlineLevel="0" collapsed="false"/>
    <row r="92" s="45" customFormat="true" ht="12.8" hidden="false" customHeight="false" outlineLevel="0" collapsed="false"/>
    <row r="93" s="38" customFormat="true" ht="17.35" hidden="false" customHeight="false" outlineLevel="0" collapsed="false">
      <c r="B93" s="46"/>
      <c r="C93" s="46"/>
      <c r="D93" s="46"/>
      <c r="E93" s="46"/>
      <c r="F93" s="47" t="s">
        <v>21</v>
      </c>
    </row>
    <row r="94" s="38" customFormat="true" ht="12.8" hidden="false" customHeight="false" outlineLevel="0" collapsed="false">
      <c r="B94" s="46" t="s">
        <v>53</v>
      </c>
      <c r="C94" s="46"/>
      <c r="D94" s="46"/>
      <c r="E94" s="46"/>
      <c r="F94" s="46" t="n">
        <v>249</v>
      </c>
    </row>
    <row r="95" s="38" customFormat="true" ht="12.8" hidden="false" customHeight="false" outlineLevel="0" collapsed="false">
      <c r="B95" s="46" t="s">
        <v>54</v>
      </c>
      <c r="C95" s="46"/>
      <c r="D95" s="46"/>
      <c r="E95" s="46"/>
      <c r="F95" s="46" t="n">
        <v>8</v>
      </c>
    </row>
    <row r="96" s="38" customFormat="true" ht="12.8" hidden="false" customHeight="false" outlineLevel="0" collapsed="false">
      <c r="B96" s="46" t="s">
        <v>55</v>
      </c>
      <c r="C96" s="46"/>
      <c r="D96" s="46"/>
      <c r="E96" s="46"/>
      <c r="F96" s="46" t="n">
        <v>5</v>
      </c>
    </row>
    <row r="97" s="38" customFormat="true" ht="12.8" hidden="false" customHeight="false" outlineLevel="0" collapsed="false">
      <c r="B97" s="46" t="s">
        <v>56</v>
      </c>
      <c r="C97" s="46"/>
      <c r="D97" s="46"/>
      <c r="E97" s="46"/>
      <c r="F97" s="46" t="n">
        <f aca="false">F94*F95*60</f>
        <v>119520</v>
      </c>
    </row>
    <row r="98" s="38" customFormat="true" ht="12.8" hidden="false" customHeight="false" outlineLevel="0" collapsed="false">
      <c r="B98" s="46" t="s">
        <v>57</v>
      </c>
      <c r="C98" s="46"/>
      <c r="D98" s="46"/>
      <c r="E98" s="46"/>
      <c r="F98" s="46" t="n">
        <f aca="false">F94*F96*60</f>
        <v>74700</v>
      </c>
    </row>
    <row r="99" s="38" customFormat="true" ht="12.8" hidden="false" customHeight="false" outlineLevel="0" collapsed="false"/>
    <row r="100" s="38" customFormat="true" ht="12.8" hidden="false" customHeight="false" outlineLevel="0" collapsed="false"/>
    <row r="101" s="38" customFormat="true" ht="17.35" hidden="false" customHeight="false" outlineLevel="0" collapsed="false">
      <c r="C101" s="48" t="s">
        <v>58</v>
      </c>
    </row>
    <row r="102" s="38" customFormat="true" ht="12.8" hidden="false" customHeight="false" outlineLevel="0" collapsed="false">
      <c r="B102" s="38" t="s">
        <v>59</v>
      </c>
      <c r="F102" s="38" t="n">
        <f aca="false">SUM(H70:H90)</f>
        <v>1230</v>
      </c>
    </row>
    <row r="103" s="38" customFormat="true" ht="12.8" hidden="false" customHeight="false" outlineLevel="0" collapsed="false">
      <c r="B103" s="38" t="s">
        <v>60</v>
      </c>
      <c r="F103" s="38" t="n">
        <f aca="false">F102/60</f>
        <v>20.5</v>
      </c>
    </row>
    <row r="104" s="38" customFormat="true" ht="12.8" hidden="false" customHeight="false" outlineLevel="0" collapsed="false">
      <c r="B104" s="38" t="s">
        <v>61</v>
      </c>
      <c r="F104" s="38" t="n">
        <f aca="false">F103/60</f>
        <v>0.341666666666667</v>
      </c>
    </row>
    <row r="105" s="38" customFormat="true" ht="12.8" hidden="false" customHeight="false" outlineLevel="0" collapsed="false">
      <c r="B105" s="38" t="s">
        <v>62</v>
      </c>
      <c r="F105" s="38" t="n">
        <f aca="false">ROUND(F96/F104,0)</f>
        <v>15</v>
      </c>
    </row>
    <row r="106" s="38" customFormat="true" ht="17.35" hidden="false" customHeight="false" outlineLevel="0" collapsed="false">
      <c r="B106" s="48" t="s">
        <v>63</v>
      </c>
    </row>
    <row r="107" s="38" customFormat="true" ht="12.8" hidden="false" customHeight="false" outlineLevel="0" collapsed="false">
      <c r="B107" s="38" t="s">
        <v>64</v>
      </c>
      <c r="F107" s="38" t="n">
        <f aca="false">ROUND(F104*I140,0)</f>
        <v>3417</v>
      </c>
    </row>
    <row r="108" s="38" customFormat="true" ht="12.8" hidden="false" customHeight="false" outlineLevel="0" collapsed="false">
      <c r="B108" s="38" t="s">
        <v>65</v>
      </c>
      <c r="F108" s="38" t="n">
        <f aca="false">ROUND(F107/F96,0)</f>
        <v>683</v>
      </c>
    </row>
    <row r="109" s="38" customFormat="true" ht="12.8" hidden="false" customHeight="false" outlineLevel="0" collapsed="false">
      <c r="B109" s="38" t="s">
        <v>66</v>
      </c>
    </row>
    <row r="110" s="38" customFormat="true" ht="12.8" hidden="false" customHeight="false" outlineLevel="0" collapsed="false">
      <c r="B110" s="38" t="s">
        <v>67</v>
      </c>
    </row>
    <row r="111" s="38" customFormat="true" ht="12.8" hidden="false" customHeight="false" outlineLevel="0" collapsed="false"/>
    <row r="112" s="38" customFormat="true" ht="12.8" hidden="false" customHeight="false" outlineLevel="0" collapsed="false">
      <c r="B112" s="38" t="s">
        <v>68</v>
      </c>
    </row>
    <row r="113" s="38" customFormat="true" ht="12.8" hidden="false" customHeight="false" outlineLevel="0" collapsed="false">
      <c r="F113" s="38" t="n">
        <f aca="false">F108/I144</f>
        <v>68.3</v>
      </c>
    </row>
    <row r="114" s="38" customFormat="true" ht="12.8" hidden="false" customHeight="false" outlineLevel="0" collapsed="false"/>
    <row r="115" s="38" customFormat="true" ht="12.8" hidden="false" customHeight="false" outlineLevel="0" collapsed="false"/>
    <row r="116" s="38" customFormat="true" ht="12.8" hidden="false" customHeight="false" outlineLevel="0" collapsed="false">
      <c r="B116" s="49"/>
      <c r="C116" s="49"/>
      <c r="D116" s="49"/>
      <c r="E116" s="49"/>
      <c r="F116" s="49"/>
      <c r="G116" s="49"/>
      <c r="H116" s="49"/>
    </row>
    <row r="117" s="38" customFormat="true" ht="17.35" hidden="false" customHeight="false" outlineLevel="0" collapsed="false">
      <c r="B117" s="49"/>
      <c r="C117" s="49"/>
      <c r="D117" s="50" t="s">
        <v>69</v>
      </c>
      <c r="E117" s="49"/>
      <c r="F117" s="49" t="s">
        <v>6</v>
      </c>
      <c r="G117" s="49"/>
      <c r="H117" s="49"/>
    </row>
    <row r="118" s="38" customFormat="true" ht="12.8" hidden="false" customHeight="false" outlineLevel="0" collapsed="false">
      <c r="B118" s="49" t="s">
        <v>70</v>
      </c>
      <c r="C118" s="49"/>
      <c r="D118" s="49"/>
      <c r="E118" s="49"/>
      <c r="F118" s="49" t="n">
        <v>4320</v>
      </c>
      <c r="G118" s="49"/>
      <c r="H118" s="49"/>
    </row>
    <row r="119" s="38" customFormat="true" ht="12.8" hidden="false" customHeight="false" outlineLevel="0" collapsed="false">
      <c r="B119" s="49" t="s">
        <v>71</v>
      </c>
      <c r="C119" s="49"/>
      <c r="D119" s="49"/>
      <c r="E119" s="49"/>
      <c r="F119" s="49" t="n">
        <v>266400</v>
      </c>
      <c r="G119" s="49"/>
      <c r="H119" s="49"/>
    </row>
    <row r="120" s="38" customFormat="true" ht="12.8" hidden="false" customHeight="false" outlineLevel="0" collapsed="false">
      <c r="B120" s="49" t="s">
        <v>72</v>
      </c>
      <c r="C120" s="49"/>
      <c r="D120" s="49"/>
      <c r="E120" s="49"/>
      <c r="F120" s="49" t="n">
        <f aca="false">H144/F98</f>
        <v>0.615796519410977</v>
      </c>
      <c r="G120" s="49"/>
      <c r="H120" s="49"/>
    </row>
    <row r="121" s="38" customFormat="true" ht="12.8" hidden="false" customHeight="false" outlineLevel="0" collapsed="false">
      <c r="B121" s="49"/>
      <c r="C121" s="49"/>
      <c r="D121" s="49"/>
      <c r="E121" s="49"/>
      <c r="F121" s="49"/>
      <c r="G121" s="49"/>
      <c r="H121" s="49"/>
    </row>
    <row r="122" s="38" customFormat="true" ht="17.35" hidden="false" customHeight="false" outlineLevel="0" collapsed="false">
      <c r="B122" s="51" t="s">
        <v>73</v>
      </c>
      <c r="C122" s="52"/>
      <c r="D122" s="52"/>
      <c r="E122" s="52"/>
      <c r="F122" s="52"/>
      <c r="G122" s="52"/>
      <c r="H122" s="52"/>
    </row>
    <row r="123" s="38" customFormat="true" ht="12.8" hidden="false" customHeight="false" outlineLevel="0" collapsed="false">
      <c r="B123" s="52"/>
      <c r="C123" s="52"/>
      <c r="D123" s="52"/>
      <c r="E123" s="52"/>
      <c r="F123" s="52"/>
      <c r="G123" s="52"/>
      <c r="H123" s="52"/>
    </row>
    <row r="124" s="38" customFormat="true" ht="12.8" hidden="false" customHeight="false" outlineLevel="0" collapsed="false">
      <c r="B124" s="52" t="s">
        <v>74</v>
      </c>
      <c r="C124" s="52"/>
      <c r="D124" s="52"/>
      <c r="E124" s="52"/>
      <c r="F124" s="52" t="n">
        <f aca="false">ROUND(F120*F103,0)</f>
        <v>13</v>
      </c>
      <c r="G124" s="52"/>
      <c r="H124" s="52"/>
    </row>
    <row r="125" s="38" customFormat="true" ht="12.8" hidden="false" customHeight="false" outlineLevel="0" collapsed="false">
      <c r="B125" s="52" t="s">
        <v>75</v>
      </c>
      <c r="C125" s="52"/>
      <c r="D125" s="52"/>
      <c r="E125" s="52"/>
      <c r="F125" s="52" t="n">
        <f aca="false">ROUND((G142+G143+F118+F119+G145+G146)* F104/(F94 * F130* I144),0)</f>
        <v>17</v>
      </c>
      <c r="G125" s="52"/>
      <c r="H125" s="52"/>
    </row>
    <row r="126" s="38" customFormat="true" ht="12.8" hidden="false" customHeight="false" outlineLevel="0" collapsed="false">
      <c r="B126" s="52" t="s">
        <v>76</v>
      </c>
      <c r="C126" s="52"/>
      <c r="D126" s="52"/>
      <c r="E126" s="52"/>
      <c r="F126" s="52" t="n">
        <f aca="false">F124+F125</f>
        <v>30</v>
      </c>
      <c r="G126" s="52"/>
      <c r="H126" s="52"/>
    </row>
    <row r="127" s="38" customFormat="true" ht="12.8" hidden="false" customHeight="false" outlineLevel="0" collapsed="false">
      <c r="B127" s="52" t="s">
        <v>77</v>
      </c>
      <c r="C127" s="52"/>
      <c r="D127" s="52"/>
      <c r="E127" s="52"/>
      <c r="F127" s="52" t="n">
        <v>104</v>
      </c>
      <c r="G127" s="52"/>
      <c r="H127" s="52"/>
    </row>
    <row r="128" s="38" customFormat="true" ht="12.8" hidden="false" customHeight="false" outlineLevel="0" collapsed="false">
      <c r="B128" s="52" t="s">
        <v>78</v>
      </c>
      <c r="C128" s="52"/>
      <c r="D128" s="52"/>
      <c r="E128" s="52"/>
      <c r="F128" s="52" t="n">
        <v>2</v>
      </c>
      <c r="G128" s="52"/>
      <c r="H128" s="52"/>
    </row>
    <row r="129" s="38" customFormat="true" ht="12.8" hidden="false" customHeight="false" outlineLevel="0" collapsed="false">
      <c r="B129" s="52" t="s">
        <v>79</v>
      </c>
      <c r="C129" s="52"/>
      <c r="D129" s="52"/>
      <c r="E129" s="52"/>
      <c r="F129" s="52" t="n">
        <v>12</v>
      </c>
      <c r="G129" s="52"/>
      <c r="H129" s="52"/>
    </row>
    <row r="130" s="38" customFormat="true" ht="12.8" hidden="false" customHeight="false" outlineLevel="0" collapsed="false">
      <c r="B130" s="52" t="s">
        <v>80</v>
      </c>
      <c r="C130" s="52"/>
      <c r="D130" s="52"/>
      <c r="E130" s="52"/>
      <c r="F130" s="52" t="n">
        <v>5</v>
      </c>
      <c r="G130" s="52"/>
      <c r="H130" s="52"/>
    </row>
    <row r="131" s="38" customFormat="true" ht="12.8" hidden="false" customHeight="false" outlineLevel="0" collapsed="false">
      <c r="B131" s="52" t="s">
        <v>81</v>
      </c>
      <c r="C131" s="52"/>
      <c r="D131" s="52"/>
      <c r="E131" s="52"/>
      <c r="F131" s="52" t="n">
        <f aca="false">H140*G131/100</f>
        <v>9.95</v>
      </c>
      <c r="G131" s="52" t="n">
        <v>5</v>
      </c>
      <c r="H131" s="52" t="s">
        <v>82</v>
      </c>
    </row>
    <row r="132" s="38" customFormat="true" ht="12.8" hidden="false" customHeight="false" outlineLevel="0" collapsed="false">
      <c r="B132" s="52" t="s">
        <v>83</v>
      </c>
      <c r="C132" s="52"/>
      <c r="D132" s="52"/>
      <c r="E132" s="52"/>
      <c r="F132" s="52" t="n">
        <f aca="false">H140*G132/100</f>
        <v>5.97</v>
      </c>
      <c r="G132" s="52" t="n">
        <v>3</v>
      </c>
      <c r="H132" s="52" t="s">
        <v>82</v>
      </c>
    </row>
    <row r="133" s="38" customFormat="true" ht="12.8" hidden="false" customHeight="false" outlineLevel="0" collapsed="false">
      <c r="B133" s="53" t="s">
        <v>41</v>
      </c>
      <c r="C133" s="53"/>
      <c r="D133" s="53"/>
      <c r="E133" s="53"/>
      <c r="F133" s="53" t="n">
        <f aca="false">SUM(F124:F132)</f>
        <v>198.92</v>
      </c>
      <c r="G133" s="53"/>
      <c r="H133" s="53"/>
    </row>
    <row r="134" s="54" customFormat="true" ht="12.8" hidden="false" customHeight="false" outlineLevel="0" collapsed="false">
      <c r="F134" s="25"/>
      <c r="G134" s="34"/>
    </row>
    <row r="135" s="54" customFormat="true" ht="29.3" hidden="false" customHeight="false" outlineLevel="0" collapsed="false">
      <c r="D135" s="55" t="s">
        <v>84</v>
      </c>
      <c r="F135" s="19" t="s">
        <v>17</v>
      </c>
      <c r="G135" s="56" t="s">
        <v>18</v>
      </c>
      <c r="H135" s="57" t="s">
        <v>19</v>
      </c>
      <c r="I135" s="58" t="s">
        <v>20</v>
      </c>
    </row>
    <row r="136" s="54" customFormat="true" ht="12.8" hidden="false" customHeight="false" outlineLevel="0" collapsed="false">
      <c r="F136" s="25"/>
      <c r="G136" s="34"/>
    </row>
    <row r="137" s="54" customFormat="true" ht="12.8" hidden="false" customHeight="false" outlineLevel="0" collapsed="false">
      <c r="B137" s="54" t="s">
        <v>85</v>
      </c>
      <c r="F137" s="25"/>
      <c r="G137" s="34" t="n">
        <v>4000</v>
      </c>
    </row>
    <row r="138" s="54" customFormat="true" ht="12.8" hidden="false" customHeight="false" outlineLevel="0" collapsed="false">
      <c r="B138" s="54" t="s">
        <v>86</v>
      </c>
      <c r="F138" s="25"/>
      <c r="G138" s="34" t="n">
        <v>10000</v>
      </c>
    </row>
    <row r="139" s="54" customFormat="true" ht="17.35" hidden="false" customHeight="false" outlineLevel="0" collapsed="false">
      <c r="B139" s="59" t="s">
        <v>87</v>
      </c>
      <c r="F139" s="25"/>
      <c r="G139" s="34"/>
      <c r="I139" s="60" t="n">
        <v>2</v>
      </c>
      <c r="J139" s="54" t="s">
        <v>88</v>
      </c>
    </row>
    <row r="140" s="54" customFormat="true" ht="15" hidden="false" customHeight="false" outlineLevel="0" collapsed="false">
      <c r="B140" s="54" t="s">
        <v>89</v>
      </c>
      <c r="F140" s="61" t="n">
        <f aca="false">H140*I140</f>
        <v>1990000</v>
      </c>
      <c r="G140" s="34"/>
      <c r="H140" s="54" t="n">
        <v>199</v>
      </c>
      <c r="I140" s="54" t="n">
        <v>10000</v>
      </c>
    </row>
    <row r="141" s="54" customFormat="true" ht="12.8" hidden="false" customHeight="false" outlineLevel="0" collapsed="false">
      <c r="B141" s="54" t="s">
        <v>90</v>
      </c>
      <c r="F141" s="25"/>
      <c r="G141" s="34"/>
    </row>
    <row r="142" s="54" customFormat="true" ht="12.8" hidden="false" customHeight="false" outlineLevel="0" collapsed="false">
      <c r="C142" s="54" t="s">
        <v>91</v>
      </c>
      <c r="F142" s="25"/>
      <c r="G142" s="34" t="n">
        <f aca="false">H142*I142</f>
        <v>120000</v>
      </c>
      <c r="H142" s="54" t="n">
        <v>120000</v>
      </c>
      <c r="I142" s="54" t="n">
        <v>1</v>
      </c>
    </row>
    <row r="143" s="54" customFormat="true" ht="12.8" hidden="false" customHeight="false" outlineLevel="0" collapsed="false">
      <c r="C143" s="54" t="s">
        <v>92</v>
      </c>
      <c r="F143" s="25"/>
      <c r="G143" s="34" t="n">
        <f aca="false">H143*I143</f>
        <v>120000</v>
      </c>
      <c r="H143" s="54" t="n">
        <v>120000</v>
      </c>
      <c r="I143" s="54" t="n">
        <v>1</v>
      </c>
    </row>
    <row r="144" s="54" customFormat="true" ht="12.8" hidden="false" customHeight="false" outlineLevel="0" collapsed="false">
      <c r="C144" s="54" t="s">
        <v>93</v>
      </c>
      <c r="E144" s="54" t="s">
        <v>94</v>
      </c>
      <c r="F144" s="25"/>
      <c r="G144" s="34" t="n">
        <f aca="false">H144*I144</f>
        <v>460000</v>
      </c>
      <c r="H144" s="54" t="n">
        <v>46000</v>
      </c>
      <c r="I144" s="54" t="n">
        <v>10</v>
      </c>
    </row>
    <row r="145" s="54" customFormat="true" ht="12.8" hidden="false" customHeight="false" outlineLevel="0" collapsed="false">
      <c r="C145" s="54" t="s">
        <v>95</v>
      </c>
      <c r="F145" s="25"/>
      <c r="G145" s="34" t="n">
        <f aca="false">H145*I145</f>
        <v>60000</v>
      </c>
      <c r="H145" s="54" t="n">
        <v>30000</v>
      </c>
      <c r="I145" s="54" t="n">
        <v>2</v>
      </c>
    </row>
    <row r="146" s="54" customFormat="true" ht="12.8" hidden="false" customHeight="false" outlineLevel="0" collapsed="false">
      <c r="C146" s="54" t="s">
        <v>96</v>
      </c>
      <c r="F146" s="25"/>
      <c r="G146" s="34" t="n">
        <f aca="false">H146*I146</f>
        <v>50000</v>
      </c>
      <c r="H146" s="54" t="n">
        <v>50000</v>
      </c>
      <c r="I146" s="54" t="n">
        <v>1</v>
      </c>
    </row>
    <row r="147" s="54" customFormat="true" ht="12.8" hidden="false" customHeight="false" outlineLevel="0" collapsed="false">
      <c r="B147" s="13"/>
      <c r="F147" s="25"/>
      <c r="G147" s="34"/>
      <c r="I147" s="54" t="n">
        <f aca="false">I142+I143+I145+I146</f>
        <v>5</v>
      </c>
    </row>
    <row r="148" s="62" customFormat="true" ht="12.8" hidden="false" customHeight="false" outlineLevel="0" collapsed="false"/>
    <row r="149" s="62" customFormat="true" ht="19.7" hidden="false" customHeight="false" outlineLevel="0" collapsed="false">
      <c r="C149" s="63" t="s">
        <v>97</v>
      </c>
    </row>
    <row r="150" s="62" customFormat="true" ht="12.8" hidden="false" customHeight="false" outlineLevel="0" collapsed="false"/>
    <row r="151" s="62" customFormat="true" ht="12.8" hidden="false" customHeight="false" outlineLevel="0" collapsed="false">
      <c r="B151" s="62" t="s">
        <v>98</v>
      </c>
      <c r="G151" s="62" t="n">
        <f aca="false">H151*I151*J151</f>
        <v>360000</v>
      </c>
      <c r="H151" s="62" t="n">
        <v>60000</v>
      </c>
      <c r="I151" s="62" t="n">
        <v>20</v>
      </c>
      <c r="J151" s="62" t="n">
        <v>0.3</v>
      </c>
    </row>
    <row r="152" s="62" customFormat="true" ht="12.8" hidden="false" customHeight="false" outlineLevel="0" collapsed="false">
      <c r="B152" s="62" t="s">
        <v>99</v>
      </c>
      <c r="G152" s="62" t="n">
        <f aca="false">H152*I152*J152</f>
        <v>312000</v>
      </c>
      <c r="H152" s="62" t="n">
        <f aca="false">F127</f>
        <v>104</v>
      </c>
      <c r="I152" s="62" t="n">
        <f aca="false">I140</f>
        <v>10000</v>
      </c>
      <c r="J152" s="62" t="n">
        <v>0.3</v>
      </c>
    </row>
    <row r="153" s="62" customFormat="true" ht="12.8" hidden="false" customHeight="false" outlineLevel="0" collapsed="false">
      <c r="B153" s="62" t="s">
        <v>100</v>
      </c>
      <c r="G153" s="62" t="n">
        <f aca="false">I153*H153</f>
        <v>170000</v>
      </c>
      <c r="H153" s="62" t="n">
        <f aca="false">F129+F130</f>
        <v>17</v>
      </c>
      <c r="I153" s="62" t="n">
        <f aca="false">I140</f>
        <v>10000</v>
      </c>
      <c r="J153" s="62" t="n">
        <v>1</v>
      </c>
    </row>
    <row r="154" s="62" customFormat="true" ht="17.35" hidden="false" customHeight="false" outlineLevel="0" collapsed="false">
      <c r="B154" s="62" t="s">
        <v>101</v>
      </c>
      <c r="E154" s="64" t="s">
        <v>102</v>
      </c>
    </row>
    <row r="155" s="62" customFormat="true" ht="12.8" hidden="false" customHeight="false" outlineLevel="0" collapsed="false">
      <c r="E155" s="62" t="n">
        <v>1</v>
      </c>
      <c r="G155" s="62" t="n">
        <f aca="false">ROUND((SUM(G151:G154)+F118+F119)/F94,0)</f>
        <v>4469</v>
      </c>
    </row>
    <row r="156" s="62" customFormat="true" ht="12.8" hidden="false" customHeight="false" outlineLevel="0" collapsed="false">
      <c r="D156" s="62" t="s">
        <v>103</v>
      </c>
      <c r="E156" s="62" t="n">
        <v>5</v>
      </c>
      <c r="G156" s="62" t="n">
        <f aca="false">G155*E156</f>
        <v>22345</v>
      </c>
    </row>
    <row r="157" s="62" customFormat="true" ht="12.8" hidden="false" customHeight="false" outlineLevel="0" collapsed="false">
      <c r="D157" s="62" t="s">
        <v>88</v>
      </c>
      <c r="E157" s="62" t="n">
        <v>22</v>
      </c>
      <c r="G157" s="62" t="n">
        <f aca="false">G155*E157</f>
        <v>98318</v>
      </c>
    </row>
    <row r="158" s="62" customFormat="true" ht="12.8" hidden="false" customHeight="false" outlineLevel="0" collapsed="false">
      <c r="D158" s="62" t="s">
        <v>104</v>
      </c>
      <c r="E158" s="62" t="n">
        <v>50</v>
      </c>
      <c r="G158" s="62" t="n">
        <f aca="false">G155*E158</f>
        <v>223450</v>
      </c>
    </row>
    <row r="159" s="62" customFormat="true" ht="12.8" hidden="false" customHeight="false" outlineLevel="0" collapsed="false">
      <c r="G159" s="62" t="n">
        <f aca="false">SUM(G151:G158)</f>
        <v>1190582</v>
      </c>
    </row>
    <row r="160" s="62" customFormat="true" ht="12.8" hidden="false" customHeight="false" outlineLevel="0" collapsed="false"/>
    <row r="161" s="65" customFormat="true" ht="12.8" hidden="false" customHeight="false" outlineLevel="0" collapsed="false"/>
    <row r="162" s="65" customFormat="true" ht="19.7" hidden="false" customHeight="false" outlineLevel="0" collapsed="false">
      <c r="E162" s="66" t="s">
        <v>105</v>
      </c>
    </row>
    <row r="163" s="65" customFormat="true" ht="12.8" hidden="false" customHeight="false" outlineLevel="0" collapsed="false"/>
    <row r="164" s="65" customFormat="true" ht="12.8" hidden="false" customHeight="false" outlineLevel="0" collapsed="false">
      <c r="B164" s="65" t="s">
        <v>106</v>
      </c>
      <c r="C164" s="67" t="s">
        <v>107</v>
      </c>
      <c r="E164" s="65" t="s">
        <v>108</v>
      </c>
    </row>
    <row r="165" s="65" customFormat="true" ht="12.8" hidden="false" customHeight="false" outlineLevel="0" collapsed="false">
      <c r="B165" s="65" t="s">
        <v>109</v>
      </c>
      <c r="C165" s="67" t="s">
        <v>6</v>
      </c>
      <c r="E165" s="65" t="s">
        <v>110</v>
      </c>
      <c r="F165" s="68" t="s">
        <v>111</v>
      </c>
    </row>
    <row r="166" s="65" customFormat="true" ht="12.8" hidden="false" customHeight="false" outlineLevel="0" collapsed="false">
      <c r="B166" s="65" t="n">
        <v>9</v>
      </c>
      <c r="C166" s="67" t="n">
        <v>3150</v>
      </c>
      <c r="E166" s="65" t="n">
        <v>24</v>
      </c>
      <c r="F166" s="68" t="n">
        <v>34</v>
      </c>
    </row>
    <row r="167" s="65" customFormat="true" ht="12.8" hidden="false" customHeight="false" outlineLevel="0" collapsed="false">
      <c r="B167" s="65" t="n">
        <v>10</v>
      </c>
      <c r="C167" s="67" t="n">
        <v>3880</v>
      </c>
      <c r="E167" s="65" t="n">
        <v>19.6</v>
      </c>
      <c r="F167" s="68" t="n">
        <v>29.8</v>
      </c>
    </row>
    <row r="168" s="65" customFormat="true" ht="12.8" hidden="false" customHeight="false" outlineLevel="0" collapsed="false">
      <c r="B168" s="65" t="n">
        <v>11</v>
      </c>
      <c r="C168" s="67" t="n">
        <v>4663</v>
      </c>
      <c r="E168" s="65" t="n">
        <v>16.2</v>
      </c>
      <c r="F168" s="68" t="n">
        <v>26.6</v>
      </c>
    </row>
    <row r="169" s="65" customFormat="true" ht="12.8" hidden="false" customHeight="false" outlineLevel="0" collapsed="false">
      <c r="B169" s="65" t="n">
        <v>12</v>
      </c>
      <c r="C169" s="67" t="n">
        <v>5446</v>
      </c>
      <c r="E169" s="65" t="n">
        <v>14</v>
      </c>
      <c r="F169" s="68" t="n">
        <v>24.6</v>
      </c>
    </row>
    <row r="170" s="65" customFormat="true" ht="12.8" hidden="false" customHeight="false" outlineLevel="0" collapsed="false">
      <c r="B170" s="65" t="n">
        <v>13</v>
      </c>
      <c r="C170" s="67" t="n">
        <v>6177</v>
      </c>
      <c r="E170" s="65" t="n">
        <v>12.2</v>
      </c>
      <c r="F170" s="68" t="n">
        <v>23</v>
      </c>
    </row>
    <row r="171" s="65" customFormat="true" ht="12.8" hidden="false" customHeight="false" outlineLevel="0" collapsed="false">
      <c r="B171" s="65" t="n">
        <v>14</v>
      </c>
      <c r="C171" s="67" t="n">
        <v>6960</v>
      </c>
      <c r="E171" s="65" t="n">
        <v>10.8</v>
      </c>
      <c r="F171" s="68" t="n">
        <v>21.8</v>
      </c>
    </row>
    <row r="172" s="65" customFormat="true" ht="12.8" hidden="false" customHeight="false" outlineLevel="0" collapsed="false">
      <c r="B172" s="65" t="n">
        <v>15</v>
      </c>
      <c r="C172" s="67" t="n">
        <v>7743</v>
      </c>
      <c r="E172" s="65" t="n">
        <v>9.8</v>
      </c>
      <c r="F172" s="68" t="n">
        <v>21</v>
      </c>
    </row>
    <row r="173" s="65" customFormat="true" ht="12.8" hidden="false" customHeight="false" outlineLevel="0" collapsed="false">
      <c r="B173" s="65" t="n">
        <v>16</v>
      </c>
      <c r="C173" s="67" t="n">
        <v>8473</v>
      </c>
      <c r="E173" s="65" t="n">
        <v>9</v>
      </c>
      <c r="F173" s="68" t="n">
        <v>20.4</v>
      </c>
    </row>
    <row r="174" s="65" customFormat="true" ht="12.8" hidden="false" customHeight="false" outlineLevel="0" collapsed="false">
      <c r="B174" s="65" t="n">
        <v>17</v>
      </c>
      <c r="C174" s="67" t="n">
        <v>9256</v>
      </c>
      <c r="E174" s="65" t="n">
        <v>8.2</v>
      </c>
      <c r="F174" s="68" t="n">
        <v>19.8</v>
      </c>
    </row>
    <row r="175" s="65" customFormat="true" ht="12.8" hidden="false" customHeight="false" outlineLevel="0" collapsed="false">
      <c r="B175" s="65" t="n">
        <v>18</v>
      </c>
      <c r="C175" s="67" t="n">
        <v>9987</v>
      </c>
      <c r="E175" s="65" t="n">
        <v>7.6</v>
      </c>
      <c r="F175" s="68" t="n">
        <v>19.4</v>
      </c>
    </row>
    <row r="176" s="65" customFormat="true" ht="12.8" hidden="false" customHeight="false" outlineLevel="0" collapsed="false">
      <c r="B176" s="65" t="n">
        <v>19</v>
      </c>
      <c r="C176" s="67" t="n">
        <v>10770</v>
      </c>
      <c r="E176" s="65" t="n">
        <v>7</v>
      </c>
      <c r="F176" s="68" t="n">
        <v>19</v>
      </c>
    </row>
    <row r="177" s="65" customFormat="true" ht="12.8" hidden="false" customHeight="false" outlineLevel="0" collapsed="false">
      <c r="B177" s="65" t="n">
        <v>20</v>
      </c>
      <c r="C177" s="67" t="n">
        <v>11552</v>
      </c>
      <c r="E177" s="65" t="n">
        <v>6.6</v>
      </c>
      <c r="F177" s="68" t="n">
        <v>18.8</v>
      </c>
    </row>
    <row r="178" s="65" customFormat="true" ht="12.8" hidden="false" customHeight="false" outlineLevel="0" collapsed="false">
      <c r="B178" s="65" t="n">
        <v>21</v>
      </c>
      <c r="C178" s="67" t="n">
        <v>12283</v>
      </c>
      <c r="E178" s="65" t="n">
        <v>6.2</v>
      </c>
      <c r="F178" s="68" t="n">
        <v>18.6</v>
      </c>
    </row>
    <row r="179" s="65" customFormat="true" ht="12.8" hidden="false" customHeight="false" outlineLevel="0" collapsed="false">
      <c r="B179" s="65" t="n">
        <v>22</v>
      </c>
      <c r="C179" s="67" t="n">
        <v>13066</v>
      </c>
      <c r="E179" s="65" t="n">
        <v>5.8</v>
      </c>
      <c r="F179" s="68" t="n">
        <v>18.4</v>
      </c>
    </row>
    <row r="180" s="65" customFormat="true" ht="12.8" hidden="false" customHeight="false" outlineLevel="0" collapsed="false">
      <c r="B180" s="65" t="n">
        <v>23</v>
      </c>
      <c r="C180" s="67" t="n">
        <v>13849</v>
      </c>
      <c r="E180" s="65" t="n">
        <v>5.4</v>
      </c>
      <c r="F180" s="68" t="n">
        <v>18.2</v>
      </c>
    </row>
    <row r="181" s="65" customFormat="true" ht="12.8" hidden="false" customHeight="false" outlineLevel="0" collapsed="false">
      <c r="B181" s="65" t="n">
        <v>24</v>
      </c>
      <c r="C181" s="67" t="n">
        <v>14579</v>
      </c>
      <c r="E181" s="65" t="n">
        <v>5.2</v>
      </c>
      <c r="F181" s="68" t="n">
        <v>18.2</v>
      </c>
    </row>
    <row r="182" s="65" customFormat="true" ht="12.8" hidden="false" customHeight="false" outlineLevel="0" collapsed="false">
      <c r="B182" s="65" t="n">
        <v>25</v>
      </c>
      <c r="C182" s="67" t="n">
        <v>15362</v>
      </c>
      <c r="E182" s="65" t="n">
        <v>5</v>
      </c>
      <c r="F182" s="68" t="n">
        <v>18.2</v>
      </c>
    </row>
    <row r="183" s="65" customFormat="true" ht="12.8" hidden="false" customHeight="false" outlineLevel="0" collapsed="false">
      <c r="B183" s="65" t="n">
        <v>26</v>
      </c>
      <c r="C183" s="67" t="n">
        <v>16093</v>
      </c>
      <c r="E183" s="65" t="n">
        <v>4.8</v>
      </c>
      <c r="F183" s="68" t="n">
        <v>18.2</v>
      </c>
    </row>
    <row r="184" s="65" customFormat="true" ht="12.8" hidden="false" customHeight="false" outlineLevel="0" collapsed="false">
      <c r="B184" s="65" t="n">
        <v>27</v>
      </c>
      <c r="C184" s="67" t="n">
        <v>16876</v>
      </c>
      <c r="E184" s="65" t="n">
        <v>4.4</v>
      </c>
      <c r="F184" s="68" t="n">
        <v>18</v>
      </c>
    </row>
    <row r="185" s="65" customFormat="true" ht="12.8" hidden="false" customHeight="false" outlineLevel="0" collapsed="false">
      <c r="B185" s="65" t="n">
        <v>28</v>
      </c>
      <c r="C185" s="67" t="n">
        <v>17659</v>
      </c>
      <c r="E185" s="65" t="n">
        <v>4.2</v>
      </c>
      <c r="F185" s="68" t="n">
        <v>18</v>
      </c>
    </row>
    <row r="186" s="65" customFormat="true" ht="12.8" hidden="false" customHeight="false" outlineLevel="0" collapsed="false">
      <c r="B186" s="65" t="n">
        <v>29</v>
      </c>
      <c r="C186" s="67" t="n">
        <v>18389</v>
      </c>
      <c r="E186" s="65" t="n">
        <v>4.2</v>
      </c>
      <c r="F186" s="68" t="n">
        <v>18.2</v>
      </c>
    </row>
    <row r="187" s="65" customFormat="true" ht="12.8" hidden="false" customHeight="false" outlineLevel="0" collapsed="false">
      <c r="C187" s="67"/>
      <c r="F187" s="68"/>
    </row>
    <row r="188" s="65" customFormat="true" ht="12.8" hidden="false" customHeight="false" outlineLevel="0" collapsed="false">
      <c r="C188" s="67"/>
      <c r="F188" s="68"/>
    </row>
    <row r="189" s="69" customFormat="true" ht="12.8" hidden="false" customHeight="false" outlineLevel="0" collapsed="false">
      <c r="B189" s="69" t="s">
        <v>112</v>
      </c>
    </row>
    <row r="190" s="69" customFormat="true" ht="12.8" hidden="false" customHeight="false" outlineLevel="0" collapsed="false">
      <c r="B190" s="69" t="s">
        <v>113</v>
      </c>
    </row>
    <row r="191" s="69" customFormat="true" ht="12.8" hidden="false" customHeight="false" outlineLevel="0" collapsed="false">
      <c r="B191" s="69" t="s">
        <v>114</v>
      </c>
    </row>
    <row r="192" s="69" customFormat="true" ht="12.8" hidden="false" customHeight="false" outlineLevel="0" collapsed="false">
      <c r="B192" s="69" t="s">
        <v>115</v>
      </c>
    </row>
    <row r="193" s="69" customFormat="true" ht="12.8" hidden="false" customHeight="false" outlineLevel="0" collapsed="false">
      <c r="B193" s="69" t="s">
        <v>116</v>
      </c>
    </row>
    <row r="194" s="69" customFormat="true" ht="12.8" hidden="false" customHeight="false" outlineLevel="0" collapsed="false">
      <c r="B194" s="69" t="s">
        <v>117</v>
      </c>
    </row>
    <row r="195" s="44" customFormat="true" ht="12.8" hidden="false" customHeight="false" outlineLevel="0" collapsed="false">
      <c r="D195" s="70"/>
      <c r="F195" s="71"/>
    </row>
    <row r="196" s="44" customFormat="true" ht="12.8" hidden="false" customHeight="false" outlineLevel="0" collapsed="false">
      <c r="C196" s="44" t="s">
        <v>118</v>
      </c>
      <c r="D196" s="70" t="s">
        <v>119</v>
      </c>
      <c r="F196" s="71" t="s">
        <v>120</v>
      </c>
      <c r="G196" s="44" t="s">
        <v>121</v>
      </c>
    </row>
    <row r="197" s="44" customFormat="true" ht="12.8" hidden="false" customHeight="false" outlineLevel="0" collapsed="false">
      <c r="C197" s="44" t="s">
        <v>122</v>
      </c>
      <c r="D197" s="70" t="s">
        <v>123</v>
      </c>
      <c r="E197" s="44" t="s">
        <v>88</v>
      </c>
      <c r="F197" s="71" t="s">
        <v>31</v>
      </c>
      <c r="G197" s="44" t="s">
        <v>31</v>
      </c>
    </row>
    <row r="198" s="44" customFormat="true" ht="12.8" hidden="false" customHeight="false" outlineLevel="0" collapsed="false">
      <c r="C198" s="44" t="n">
        <f aca="false">I50+I147</f>
        <v>10</v>
      </c>
      <c r="D198" s="70"/>
      <c r="F198" s="71"/>
    </row>
    <row r="199" s="44" customFormat="true" ht="12.8" hidden="false" customHeight="false" outlineLevel="0" collapsed="false">
      <c r="C199" s="44" t="n">
        <f aca="false">B166+C198</f>
        <v>19</v>
      </c>
      <c r="D199" s="70" t="n">
        <f aca="false">ROUND(E199/12,2)</f>
        <v>1.38</v>
      </c>
      <c r="E199" s="44" t="n">
        <f aca="false">F199+6</f>
        <v>16.5</v>
      </c>
      <c r="F199" s="71" t="n">
        <f aca="false">G199+I139</f>
        <v>10.5</v>
      </c>
      <c r="G199" s="44" t="n">
        <v>8.5</v>
      </c>
    </row>
    <row r="200" s="44" customFormat="true" ht="12.8" hidden="false" customHeight="false" outlineLevel="0" collapsed="false">
      <c r="C200" s="44" t="n">
        <f aca="false">C198+B167</f>
        <v>20</v>
      </c>
      <c r="D200" s="70" t="n">
        <f aca="false">ROUND(E200/12,2)</f>
        <v>1.29</v>
      </c>
      <c r="E200" s="44" t="n">
        <f aca="false">F200+6</f>
        <v>15.45</v>
      </c>
      <c r="F200" s="71" t="n">
        <f aca="false">G200+I139</f>
        <v>9.45</v>
      </c>
      <c r="G200" s="44" t="n">
        <v>7.45</v>
      </c>
    </row>
    <row r="201" s="44" customFormat="true" ht="12.8" hidden="false" customHeight="false" outlineLevel="0" collapsed="false">
      <c r="C201" s="44" t="n">
        <f aca="false">C198+B168</f>
        <v>21</v>
      </c>
      <c r="D201" s="70" t="n">
        <f aca="false">ROUND(E201/12,2)</f>
        <v>1.22</v>
      </c>
      <c r="E201" s="44" t="n">
        <f aca="false">F201+6</f>
        <v>14.65</v>
      </c>
      <c r="F201" s="71" t="n">
        <f aca="false">G201+I139</f>
        <v>8.65</v>
      </c>
      <c r="G201" s="44" t="n">
        <v>6.65</v>
      </c>
    </row>
    <row r="202" s="44" customFormat="true" ht="12.8" hidden="false" customHeight="false" outlineLevel="0" collapsed="false">
      <c r="C202" s="44" t="n">
        <f aca="false">C198+B169</f>
        <v>22</v>
      </c>
      <c r="D202" s="70" t="n">
        <f aca="false">ROUND(E202/12,2)</f>
        <v>1.18</v>
      </c>
      <c r="E202" s="44" t="n">
        <f aca="false">F202+6</f>
        <v>14.15</v>
      </c>
      <c r="F202" s="71" t="n">
        <f aca="false">G202+I139</f>
        <v>8.15</v>
      </c>
      <c r="G202" s="44" t="n">
        <v>6.15</v>
      </c>
    </row>
    <row r="203" s="44" customFormat="true" ht="12.8" hidden="false" customHeight="false" outlineLevel="0" collapsed="false">
      <c r="C203" s="44" t="n">
        <f aca="false">C198+B170</f>
        <v>23</v>
      </c>
      <c r="D203" s="70" t="n">
        <f aca="false">ROUND(E203/12,2)</f>
        <v>1.15</v>
      </c>
      <c r="E203" s="44" t="n">
        <f aca="false">F203+6</f>
        <v>13.75</v>
      </c>
      <c r="F203" s="71" t="n">
        <f aca="false">G203+I139</f>
        <v>7.75</v>
      </c>
      <c r="G203" s="44" t="n">
        <v>5.75</v>
      </c>
    </row>
    <row r="204" s="44" customFormat="true" ht="12.8" hidden="false" customHeight="false" outlineLevel="0" collapsed="false">
      <c r="C204" s="44" t="n">
        <f aca="false">B171</f>
        <v>14</v>
      </c>
      <c r="D204" s="70" t="n">
        <f aca="false">ROUND(E204/12,2)</f>
        <v>1.12</v>
      </c>
      <c r="E204" s="44" t="n">
        <f aca="false">F204+6</f>
        <v>13.45</v>
      </c>
      <c r="F204" s="71" t="n">
        <f aca="false">G204+I139</f>
        <v>7.45</v>
      </c>
      <c r="G204" s="44" t="n">
        <v>5.45</v>
      </c>
    </row>
    <row r="205" s="44" customFormat="true" ht="12.8" hidden="false" customHeight="false" outlineLevel="0" collapsed="false">
      <c r="C205" s="44" t="n">
        <f aca="false">C198+B172</f>
        <v>25</v>
      </c>
      <c r="D205" s="70" t="n">
        <f aca="false">ROUND(E205/12,2)</f>
        <v>1.1</v>
      </c>
      <c r="E205" s="44" t="n">
        <f aca="false">F205+6</f>
        <v>13.25</v>
      </c>
      <c r="F205" s="71" t="n">
        <f aca="false">G205+I139</f>
        <v>7.25</v>
      </c>
      <c r="G205" s="44" t="n">
        <v>5.25</v>
      </c>
    </row>
    <row r="206" s="44" customFormat="true" ht="12.8" hidden="false" customHeight="false" outlineLevel="0" collapsed="false">
      <c r="C206" s="44" t="n">
        <f aca="false">C198+B173</f>
        <v>26</v>
      </c>
      <c r="D206" s="70" t="n">
        <f aca="false">ROUND(E206/12,2)</f>
        <v>1.09</v>
      </c>
      <c r="E206" s="44" t="n">
        <f aca="false">F206+6</f>
        <v>13.1</v>
      </c>
      <c r="F206" s="71" t="n">
        <f aca="false">G206+I139</f>
        <v>7.1</v>
      </c>
      <c r="G206" s="44" t="n">
        <v>5.1</v>
      </c>
    </row>
    <row r="207" s="44" customFormat="true" ht="12.8" hidden="false" customHeight="false" outlineLevel="0" collapsed="false">
      <c r="C207" s="44" t="n">
        <f aca="false">B174</f>
        <v>17</v>
      </c>
      <c r="D207" s="70" t="n">
        <f aca="false">ROUND(E207/12,2)</f>
        <v>1.08</v>
      </c>
      <c r="E207" s="44" t="n">
        <f aca="false">F207+6</f>
        <v>12.95</v>
      </c>
      <c r="F207" s="71" t="n">
        <f aca="false">G207+I139</f>
        <v>6.95</v>
      </c>
      <c r="G207" s="44" t="n">
        <v>4.95</v>
      </c>
    </row>
    <row r="208" s="44" customFormat="true" ht="12.8" hidden="false" customHeight="false" outlineLevel="0" collapsed="false">
      <c r="C208" s="44" t="n">
        <f aca="false">C198+B175</f>
        <v>28</v>
      </c>
      <c r="D208" s="70" t="n">
        <f aca="false">ROUND(E208/12,2)</f>
        <v>1.07</v>
      </c>
      <c r="E208" s="44" t="n">
        <f aca="false">F208+6</f>
        <v>12.85</v>
      </c>
      <c r="F208" s="71" t="n">
        <f aca="false">G208+I139</f>
        <v>6.85</v>
      </c>
      <c r="G208" s="44" t="n">
        <v>4.85</v>
      </c>
    </row>
    <row r="209" s="44" customFormat="true" ht="12.8" hidden="false" customHeight="false" outlineLevel="0" collapsed="false">
      <c r="C209" s="44" t="n">
        <f aca="false">B176+C198</f>
        <v>29</v>
      </c>
      <c r="D209" s="70" t="n">
        <f aca="false">ROUND(E209/12,2)</f>
        <v>1.06</v>
      </c>
      <c r="E209" s="44" t="n">
        <f aca="false">F210+6</f>
        <v>12.7</v>
      </c>
      <c r="F209" s="71" t="n">
        <f aca="false">G209+I139</f>
        <v>6.75</v>
      </c>
      <c r="G209" s="44" t="n">
        <v>4.75</v>
      </c>
    </row>
    <row r="210" s="44" customFormat="true" ht="12.8" hidden="false" customHeight="false" outlineLevel="0" collapsed="false">
      <c r="C210" s="44" t="n">
        <f aca="false">C198+B177</f>
        <v>30</v>
      </c>
      <c r="D210" s="70" t="n">
        <f aca="false">ROUND(E210/12,2)</f>
        <v>1.06</v>
      </c>
      <c r="E210" s="44" t="n">
        <f aca="false">F210+6</f>
        <v>12.7</v>
      </c>
      <c r="F210" s="71" t="n">
        <f aca="false">G210+I139</f>
        <v>6.7</v>
      </c>
      <c r="G210" s="44" t="n">
        <v>4.7</v>
      </c>
    </row>
    <row r="211" s="44" customFormat="true" ht="12.8" hidden="false" customHeight="false" outlineLevel="0" collapsed="false">
      <c r="C211" s="44" t="n">
        <f aca="false">C198+B178</f>
        <v>31</v>
      </c>
      <c r="D211" s="70" t="n">
        <f aca="false">ROUND(E211/12,2)</f>
        <v>1.05</v>
      </c>
      <c r="E211" s="44" t="n">
        <f aca="false">F211+6</f>
        <v>12.65</v>
      </c>
      <c r="F211" s="71" t="n">
        <f aca="false">G211+I139</f>
        <v>6.65</v>
      </c>
      <c r="G211" s="44" t="n">
        <v>4.65</v>
      </c>
    </row>
    <row r="212" s="44" customFormat="true" ht="12.8" hidden="false" customHeight="false" outlineLevel="0" collapsed="false">
      <c r="C212" s="44" t="n">
        <f aca="false">B179+C198</f>
        <v>32</v>
      </c>
      <c r="D212" s="70" t="n">
        <f aca="false">E212/12</f>
        <v>1.05</v>
      </c>
      <c r="E212" s="44" t="n">
        <f aca="false">F212+6</f>
        <v>12.6</v>
      </c>
      <c r="F212" s="71" t="n">
        <f aca="false">G212+I139</f>
        <v>6.6</v>
      </c>
      <c r="G212" s="44" t="n">
        <v>4.6</v>
      </c>
    </row>
    <row r="213" s="44" customFormat="true" ht="12.8" hidden="false" customHeight="false" outlineLevel="0" collapsed="false">
      <c r="C213" s="44" t="n">
        <f aca="false">C198+B180</f>
        <v>33</v>
      </c>
      <c r="D213" s="70" t="n">
        <f aca="false">ROUND(E213/12,2)</f>
        <v>1.05</v>
      </c>
      <c r="E213" s="44" t="n">
        <f aca="false">F213+6</f>
        <v>12.55</v>
      </c>
      <c r="F213" s="71" t="n">
        <f aca="false">G213+I139</f>
        <v>6.55</v>
      </c>
      <c r="G213" s="44" t="n">
        <v>4.55</v>
      </c>
    </row>
    <row r="214" s="44" customFormat="true" ht="12.8" hidden="false" customHeight="false" outlineLevel="0" collapsed="false">
      <c r="C214" s="44" t="n">
        <f aca="false">C198+B181</f>
        <v>34</v>
      </c>
      <c r="D214" s="70" t="n">
        <f aca="false">ROUND(E214/12,2)</f>
        <v>1.05</v>
      </c>
      <c r="E214" s="44" t="n">
        <f aca="false">F214+6</f>
        <v>12.55</v>
      </c>
      <c r="F214" s="71" t="n">
        <f aca="false">G214+I139</f>
        <v>6.55</v>
      </c>
      <c r="G214" s="44" t="n">
        <v>4.55</v>
      </c>
    </row>
    <row r="215" s="44" customFormat="true" ht="12.8" hidden="false" customHeight="false" outlineLevel="0" collapsed="false">
      <c r="C215" s="44" t="n">
        <f aca="false">C198+B182</f>
        <v>35</v>
      </c>
      <c r="D215" s="70" t="n">
        <f aca="false">ROUND(E215/12,2)</f>
        <v>1.05</v>
      </c>
      <c r="E215" s="44" t="n">
        <f aca="false">F215+6</f>
        <v>12.55</v>
      </c>
      <c r="F215" s="71" t="n">
        <f aca="false">G215+I139</f>
        <v>6.55</v>
      </c>
      <c r="G215" s="44" t="n">
        <v>4.55</v>
      </c>
    </row>
    <row r="216" s="44" customFormat="true" ht="12.8" hidden="false" customHeight="false" outlineLevel="0" collapsed="false">
      <c r="C216" s="44" t="n">
        <f aca="false">C198+B183</f>
        <v>36</v>
      </c>
      <c r="D216" s="70" t="n">
        <f aca="false">ROUND(E216/12,2)</f>
        <v>1.05</v>
      </c>
      <c r="E216" s="44" t="n">
        <f aca="false">F216+6</f>
        <v>12.55</v>
      </c>
      <c r="F216" s="71" t="n">
        <f aca="false">G216+I139</f>
        <v>6.55</v>
      </c>
      <c r="G216" s="44" t="n">
        <v>4.55</v>
      </c>
    </row>
    <row r="217" s="44" customFormat="true" ht="12.8" hidden="false" customHeight="false" outlineLevel="0" collapsed="false">
      <c r="C217" s="44" t="n">
        <f aca="false">C198+B184</f>
        <v>37</v>
      </c>
      <c r="D217" s="70" t="n">
        <f aca="false">ROUND(E217/12,2)</f>
        <v>1.04</v>
      </c>
      <c r="E217" s="44" t="n">
        <f aca="false">F217+6</f>
        <v>12.5</v>
      </c>
      <c r="F217" s="71" t="n">
        <f aca="false">G217+I139</f>
        <v>6.5</v>
      </c>
      <c r="G217" s="44" t="n">
        <v>4.5</v>
      </c>
    </row>
    <row r="218" s="44" customFormat="true" ht="12.8" hidden="false" customHeight="false" outlineLevel="0" collapsed="false">
      <c r="C218" s="44" t="n">
        <f aca="false">C198+B185</f>
        <v>38</v>
      </c>
      <c r="D218" s="70" t="n">
        <f aca="false">ROUND(E218/12,2)</f>
        <v>1.04</v>
      </c>
      <c r="E218" s="44" t="n">
        <f aca="false">F218+6</f>
        <v>12.5</v>
      </c>
      <c r="F218" s="71" t="n">
        <f aca="false">G218+I139</f>
        <v>6.5</v>
      </c>
      <c r="G218" s="44" t="n">
        <v>4.5</v>
      </c>
    </row>
    <row r="219" s="44" customFormat="true" ht="12.8" hidden="false" customHeight="false" outlineLevel="0" collapsed="false">
      <c r="C219" s="44" t="n">
        <f aca="false">C198+B186</f>
        <v>39</v>
      </c>
      <c r="D219" s="70" t="n">
        <f aca="false">ROUND(E219/12,2)</f>
        <v>1.05</v>
      </c>
      <c r="E219" s="44" t="n">
        <f aca="false">F219+6</f>
        <v>12.55</v>
      </c>
      <c r="F219" s="71" t="n">
        <f aca="false">G219+I139</f>
        <v>6.55</v>
      </c>
      <c r="G219" s="44" t="n">
        <v>4.55</v>
      </c>
    </row>
    <row r="220" s="44" customFormat="true" ht="12.8" hidden="false" customHeight="false" outlineLevel="0" collapsed="false">
      <c r="D220" s="70"/>
      <c r="F220" s="71"/>
    </row>
    <row r="223" customFormat="false" ht="22.05" hidden="false" customHeight="false" outlineLevel="0" collapsed="false">
      <c r="D223" s="72" t="s">
        <v>124</v>
      </c>
    </row>
    <row r="224" customFormat="false" ht="17.35" hidden="false" customHeight="false" outlineLevel="0" collapsed="false">
      <c r="C224" s="73" t="s">
        <v>125</v>
      </c>
    </row>
    <row r="226" customFormat="false" ht="15" hidden="false" customHeight="false" outlineLevel="0" collapsed="false">
      <c r="B226" s="74" t="s">
        <v>126</v>
      </c>
      <c r="E226" s="0" t="s">
        <v>127</v>
      </c>
      <c r="H226" s="0" t="s">
        <v>128</v>
      </c>
      <c r="K226" s="0" t="s">
        <v>129</v>
      </c>
    </row>
    <row r="227" customFormat="false" ht="12.8" hidden="false" customHeight="false" outlineLevel="0" collapsed="false">
      <c r="B227" s="0" t="s">
        <v>130</v>
      </c>
      <c r="C227" s="0" t="s">
        <v>131</v>
      </c>
      <c r="D227" s="0" t="s">
        <v>132</v>
      </c>
      <c r="E227" s="0" t="s">
        <v>133</v>
      </c>
      <c r="F227" s="0" t="s">
        <v>134</v>
      </c>
      <c r="G227" s="0" t="s">
        <v>135</v>
      </c>
      <c r="H227" s="0" t="s">
        <v>136</v>
      </c>
      <c r="I227" s="0" t="s">
        <v>137</v>
      </c>
      <c r="J227" s="0" t="s">
        <v>138</v>
      </c>
      <c r="K227" s="0" t="s">
        <v>139</v>
      </c>
      <c r="L227" s="0" t="s">
        <v>140</v>
      </c>
      <c r="M227" s="0" t="s">
        <v>141</v>
      </c>
    </row>
    <row r="228" customFormat="false" ht="12.8" hidden="false" customHeight="false" outlineLevel="0" collapsed="false">
      <c r="A228" s="0" t="s">
        <v>142</v>
      </c>
      <c r="B228" s="0" t="n">
        <f aca="false">F28*-1</f>
        <v>-8100</v>
      </c>
      <c r="C228" s="0" t="n">
        <f aca="false">(G42 +G43) *-1</f>
        <v>-101200</v>
      </c>
      <c r="D228" s="0" t="n">
        <f aca="false">(G44 + H46/12) *-1</f>
        <v>-62820</v>
      </c>
      <c r="E228" s="0" t="n">
        <f aca="false">(G54+G53+H48/12+H49/12 + H46/12)*-1</f>
        <v>-17020</v>
      </c>
      <c r="F228" s="0" t="n">
        <f aca="false">ROUND(H48/12+H49/12 + H46/12+H47/12+G146/12,0)*-1</f>
        <v>-24167</v>
      </c>
      <c r="G228" s="0" t="n">
        <f aca="false">ROUND(H48/12+H49/12 + H46/12+H47/12+G146/12+G137+G138,0)*-1</f>
        <v>-38167</v>
      </c>
      <c r="H228" s="0" t="n">
        <f aca="false">ROUND(H48/12+H49/12 + H46/12+H47/12+G146/12,0)*-1</f>
        <v>-24167</v>
      </c>
      <c r="I228" s="0" t="n">
        <f aca="false">ROUND(H48/12+H49/12 + H46/12+H47/12+G146/12,0)*-1 + (G151+G153+F118)*-1</f>
        <v>-558487</v>
      </c>
      <c r="J228" s="0" t="n">
        <f aca="false">ROUND(H48/12+H49/12 + H46/12+H47/12+G146/12,0)*-1 +ROUND(H142/12+H143/12+G145/12+G146/12,0)*-1</f>
        <v>-53334</v>
      </c>
      <c r="K228" s="0" t="n">
        <f aca="false">ROUND(H48/12+H49/12 + H46/12+H47/12+G146/12,0)*-1 +ROUND(H142/12+H143/12+G145/12+G146/12 + G144/48,0)*-1</f>
        <v>-62917</v>
      </c>
      <c r="L228" s="0" t="n">
        <f aca="false">ROUND(H48/12+H49/12 + H46/12+H47/12+G146/12,0)*-1 + C172*23 +G151 + G153/2</f>
        <v>598922</v>
      </c>
      <c r="M228" s="0" t="n">
        <f aca="false">ROUND(H48/12+H49/12 + H46/12+H47/12+G146/12,0)*-1 + C177 * 23 +G153/2 +G152</f>
        <v>638529</v>
      </c>
    </row>
    <row r="229" customFormat="false" ht="12.8" hidden="false" customHeight="false" outlineLevel="0" collapsed="false">
      <c r="A229" s="0" t="s">
        <v>143</v>
      </c>
      <c r="B229" s="0" t="n">
        <f aca="false">B228</f>
        <v>-8100</v>
      </c>
      <c r="C229" s="0" t="n">
        <f aca="false">C228+B229</f>
        <v>-109300</v>
      </c>
      <c r="D229" s="0" t="n">
        <f aca="false">D228+C229</f>
        <v>-172120</v>
      </c>
      <c r="E229" s="0" t="n">
        <f aca="false">D229+E228</f>
        <v>-189140</v>
      </c>
      <c r="F229" s="0" t="n">
        <f aca="false">E229+F228</f>
        <v>-213307</v>
      </c>
      <c r="G229" s="0" t="n">
        <f aca="false">G228+F229</f>
        <v>-251474</v>
      </c>
      <c r="H229" s="0" t="n">
        <f aca="false">H228+G229</f>
        <v>-275641</v>
      </c>
      <c r="I229" s="0" t="n">
        <f aca="false">I228+H229</f>
        <v>-834128</v>
      </c>
      <c r="J229" s="0" t="n">
        <f aca="false">I229+J228</f>
        <v>-887462</v>
      </c>
      <c r="K229" s="0" t="n">
        <f aca="false">K228+J229</f>
        <v>-950379</v>
      </c>
      <c r="L229" s="0" t="n">
        <f aca="false">K229+L228</f>
        <v>-351457</v>
      </c>
      <c r="M229" s="0" t="n">
        <f aca="false">L229+M228</f>
        <v>287072</v>
      </c>
    </row>
    <row r="230" customFormat="false" ht="12.8" hidden="false" customHeight="false" outlineLevel="0" collapsed="false">
      <c r="A230" s="0" t="s">
        <v>144</v>
      </c>
      <c r="D230" s="0" t="n">
        <f aca="false">I44</f>
        <v>10</v>
      </c>
      <c r="E230" s="0" t="n">
        <v>0</v>
      </c>
      <c r="F230" s="0" t="n">
        <v>0</v>
      </c>
      <c r="G230" s="0" t="n">
        <v>0</v>
      </c>
      <c r="H230" s="0" t="n">
        <v>0</v>
      </c>
      <c r="I230" s="0" t="n">
        <v>0</v>
      </c>
      <c r="J230" s="0" t="n">
        <v>0</v>
      </c>
      <c r="K230" s="0" t="n">
        <v>0</v>
      </c>
      <c r="L230" s="0" t="n">
        <f aca="false">B172*23*F105</f>
        <v>5175</v>
      </c>
      <c r="M230" s="0" t="n">
        <f aca="false">B177 *22*F105</f>
        <v>6600</v>
      </c>
    </row>
    <row r="233" customFormat="false" ht="12.8" hidden="false" customHeight="false" outlineLevel="0" collapsed="false">
      <c r="A233" s="0" t="s">
        <v>145</v>
      </c>
      <c r="B233" s="0" t="n">
        <f aca="false">B228+G15</f>
        <v>411900</v>
      </c>
      <c r="C233" s="0" t="n">
        <f aca="false">C228</f>
        <v>-101200</v>
      </c>
      <c r="D233" s="0" t="n">
        <f aca="false">D228</f>
        <v>-62820</v>
      </c>
      <c r="E233" s="0" t="n">
        <f aca="false">E228</f>
        <v>-17020</v>
      </c>
      <c r="F233" s="0" t="n">
        <f aca="false">F228</f>
        <v>-24167</v>
      </c>
      <c r="G233" s="0" t="n">
        <f aca="false">G228</f>
        <v>-38167</v>
      </c>
      <c r="H233" s="0" t="n">
        <f aca="false">H228 + F140</f>
        <v>1965833</v>
      </c>
      <c r="I233" s="0" t="n">
        <f aca="false">I228</f>
        <v>-558487</v>
      </c>
      <c r="J233" s="0" t="n">
        <f aca="false">J228</f>
        <v>-53334</v>
      </c>
      <c r="K233" s="0" t="n">
        <f aca="false">K228</f>
        <v>-62917</v>
      </c>
      <c r="L233" s="0" t="n">
        <f aca="false">K233 -F119/12</f>
        <v>-85117</v>
      </c>
      <c r="M233" s="0" t="n">
        <f aca="false">L233</f>
        <v>-85117</v>
      </c>
    </row>
    <row r="234" customFormat="false" ht="12.8" hidden="false" customHeight="false" outlineLevel="0" collapsed="false">
      <c r="A234" s="0" t="s">
        <v>146</v>
      </c>
      <c r="B234" s="0" t="n">
        <f aca="false">B233</f>
        <v>411900</v>
      </c>
      <c r="C234" s="0" t="n">
        <f aca="false">C233+B234</f>
        <v>310700</v>
      </c>
      <c r="D234" s="0" t="n">
        <f aca="false">C234+D233</f>
        <v>247880</v>
      </c>
      <c r="E234" s="0" t="n">
        <f aca="false">D234+E233</f>
        <v>230860</v>
      </c>
      <c r="F234" s="0" t="n">
        <f aca="false">E234+F233</f>
        <v>206693</v>
      </c>
      <c r="G234" s="0" t="n">
        <f aca="false">F234+G233</f>
        <v>168526</v>
      </c>
      <c r="H234" s="0" t="n">
        <f aca="false">G234+H233</f>
        <v>2134359</v>
      </c>
      <c r="I234" s="0" t="n">
        <f aca="false">H234+I233</f>
        <v>1575872</v>
      </c>
      <c r="J234" s="0" t="n">
        <f aca="false">I234+J233</f>
        <v>1522538</v>
      </c>
      <c r="K234" s="0" t="n">
        <f aca="false">J234+K233</f>
        <v>1459621</v>
      </c>
      <c r="L234" s="0" t="n">
        <f aca="false">K234+L233</f>
        <v>1374504</v>
      </c>
      <c r="M234" s="0" t="n">
        <f aca="false">L234 + M233</f>
        <v>1289387</v>
      </c>
    </row>
    <row r="326" customFormat="false" ht="15" hidden="false" customHeight="false" outlineLevel="0" collapsed="false">
      <c r="B326" s="74" t="s">
        <v>147</v>
      </c>
    </row>
    <row r="327" customFormat="false" ht="15" hidden="false" customHeight="false" outlineLevel="0" collapsed="false">
      <c r="B327" s="74" t="s">
        <v>148</v>
      </c>
    </row>
    <row r="328" customFormat="false" ht="15" hidden="false" customHeight="false" outlineLevel="0" collapsed="false">
      <c r="B328" s="74" t="s">
        <v>149</v>
      </c>
    </row>
    <row r="329" customFormat="false" ht="15" hidden="false" customHeight="false" outlineLevel="0" collapsed="false">
      <c r="B329" s="74" t="s">
        <v>150</v>
      </c>
    </row>
    <row r="330" customFormat="false" ht="15" hidden="false" customHeight="false" outlineLevel="0" collapsed="false">
      <c r="B330" s="74" t="s">
        <v>151</v>
      </c>
    </row>
    <row r="331" customFormat="false" ht="15" hidden="false" customHeight="false" outlineLevel="0" collapsed="false">
      <c r="B331" s="74" t="s">
        <v>152</v>
      </c>
    </row>
    <row r="332" customFormat="false" ht="15" hidden="false" customHeight="false" outlineLevel="0" collapsed="false">
      <c r="B332" s="74"/>
    </row>
    <row r="333" customFormat="false" ht="15" hidden="false" customHeight="false" outlineLevel="0" collapsed="false">
      <c r="B333" s="74"/>
    </row>
    <row r="334" customFormat="false" ht="15" hidden="false" customHeight="false" outlineLevel="0" collapsed="false">
      <c r="B334" s="74"/>
    </row>
    <row r="335" customFormat="false" ht="14.15" hidden="false" customHeight="false" outlineLevel="0" collapsed="false">
      <c r="B335" s="75" t="s">
        <v>153</v>
      </c>
    </row>
    <row r="336" customFormat="false" ht="14.15" hidden="false" customHeight="false" outlineLevel="0" collapsed="false">
      <c r="B336" s="75" t="s">
        <v>154</v>
      </c>
    </row>
    <row r="337" customFormat="false" ht="15" hidden="false" customHeight="false" outlineLevel="0" collapsed="false">
      <c r="B337" s="74"/>
    </row>
    <row r="338" customFormat="false" ht="14.15" hidden="false" customHeight="false" outlineLevel="0" collapsed="false">
      <c r="B338" s="75" t="s">
        <v>155</v>
      </c>
    </row>
    <row r="339" customFormat="false" ht="14.15" hidden="false" customHeight="false" outlineLevel="0" collapsed="false">
      <c r="B339" s="75" t="s">
        <v>156</v>
      </c>
    </row>
    <row r="340" customFormat="false" ht="14.15" hidden="false" customHeight="false" outlineLevel="0" collapsed="false">
      <c r="B340" s="75" t="s">
        <v>157</v>
      </c>
    </row>
    <row r="341" customFormat="false" ht="14.15" hidden="false" customHeight="false" outlineLevel="0" collapsed="false">
      <c r="B341" s="75" t="s">
        <v>158</v>
      </c>
    </row>
    <row r="342" customFormat="false" ht="14.15" hidden="false" customHeight="false" outlineLevel="0" collapsed="false">
      <c r="B342" s="75" t="s">
        <v>159</v>
      </c>
    </row>
  </sheetData>
  <hyperlinks>
    <hyperlink ref="B335" r:id="rId2" display="sergesclv@gmail.com"/>
    <hyperlink ref="B336" r:id="rId3" display="sergesclv3@protonmail.com"/>
    <hyperlink ref="B338" r:id="rId4" display="https://ru.linkedin.com/in/serge-sokolov-abb5319"/>
    <hyperlink ref="B339" r:id="rId5" display="https://x.com/SeregeSokolov"/>
    <hyperlink ref="B340" r:id="rId6" display="https://github.com/serge-scl/mini-keyboard"/>
    <hyperlink ref="B341" r:id="rId7" display="https://www.facebook.com/sergesclv/"/>
    <hyperlink ref="B342" r:id="rId8" display="https://maker.pro/raspberry-pi/projects/mouse-keyboard-pyramids"/>
  </hyperlink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  <drawing r:id="rId9"/>
  <legacyDrawing r:id="rId1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836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2025-12-08T09:51:11Z</dcterms:created>
  <dc:creator/>
  <dc:description/>
  <dc:language>ru-RU</dc:language>
  <cp:lastModifiedBy/>
  <dcterms:modified xsi:type="dcterms:W3CDTF">2026-02-18T17:51:36Z</dcterms:modified>
  <cp:revision>161</cp:revision>
  <dc:subject/>
  <dc:title/>
</cp:coreProperties>
</file>